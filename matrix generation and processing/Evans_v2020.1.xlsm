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5" yWindow="705" windowWidth="19440" windowHeight="7440" activeTab="3"/>
  </bookViews>
  <sheets>
    <sheet name="ReadMe" sheetId="4" r:id="rId1"/>
    <sheet name="Sheet1" sheetId="1" r:id="rId2"/>
    <sheet name="Sheet2" sheetId="2" r:id="rId3"/>
    <sheet name="Sheet3" sheetId="5" r:id="rId4"/>
    <sheet name="AtomicInfo" sheetId="6" r:id="rId5"/>
    <sheet name="Temp" sheetId="7" r:id="rId6"/>
    <sheet name="input" sheetId="3" r:id="rId7"/>
    <sheet name="BackUp" sheetId="8" r:id="rId8"/>
    <sheet name="AtomicProp" sheetId="9" r:id="rId9"/>
  </sheets>
  <functionGroups builtInGroupCount="17"/>
  <definedNames>
    <definedName name="_1_683_1_morga" localSheetId="1">Sheet1!#REF!</definedName>
    <definedName name="_1_683_1_morga_1" localSheetId="1">Sheet1!#REF!</definedName>
    <definedName name="_1_683_1_morga_2" localSheetId="1">Sheet1!#REF!</definedName>
    <definedName name="_14_691_14_morga" localSheetId="1">Sheet1!#REF!</definedName>
    <definedName name="_14_691_14_morga_1" localSheetId="1">Sheet1!#REF!</definedName>
    <definedName name="_14_691_14_morga_10" localSheetId="1">Sheet1!#REF!</definedName>
    <definedName name="_14_691_14_morga_11" localSheetId="1">Sheet1!#REF!</definedName>
    <definedName name="_14_691_14_morga_12" localSheetId="1">Sheet1!#REF!</definedName>
    <definedName name="_14_691_14_morga_13" localSheetId="1">Sheet1!#REF!</definedName>
    <definedName name="_14_691_14_morga_14" localSheetId="1">Sheet1!#REF!</definedName>
    <definedName name="_14_691_14_morga_15" localSheetId="1">Sheet1!#REF!</definedName>
    <definedName name="_14_691_14_morga_16" localSheetId="1">Sheet1!#REF!</definedName>
    <definedName name="_14_691_14_morga_2" localSheetId="1">Sheet1!#REF!</definedName>
    <definedName name="_14_691_14_morga_3" localSheetId="1">Sheet1!#REF!</definedName>
    <definedName name="_14_691_14_morga_4" localSheetId="1">Sheet1!#REF!</definedName>
    <definedName name="_14_691_14_morga_5" localSheetId="1">Sheet1!#REF!</definedName>
    <definedName name="_14_691_14_morga_6" localSheetId="1">Sheet1!#REF!</definedName>
    <definedName name="_14_691_14_morga_7" localSheetId="1">Sheet1!#REF!</definedName>
    <definedName name="_14_691_14_morga_8" localSheetId="1">Sheet1!#REF!</definedName>
    <definedName name="_14_691_14_morga_9" localSheetId="1">Sheet1!#REF!</definedName>
    <definedName name="_15_692_15_morga" localSheetId="1">Sheet1!#REF!</definedName>
    <definedName name="a" localSheetId="1">Sheet1!#REF!</definedName>
    <definedName name="a" localSheetId="2">Sheet2!#REF!</definedName>
    <definedName name="a" localSheetId="3">Sheet3!#REF!</definedName>
    <definedName name="a_1" localSheetId="1">Sheet1!#REF!</definedName>
    <definedName name="a_1" localSheetId="2">Sheet2!#REF!</definedName>
    <definedName name="a_10" localSheetId="1">Sheet1!#REF!</definedName>
    <definedName name="a_100" localSheetId="1">Sheet1!#REF!</definedName>
    <definedName name="a_101" localSheetId="1">Sheet1!#REF!</definedName>
    <definedName name="a_102" localSheetId="1">Sheet1!#REF!</definedName>
    <definedName name="a_103" localSheetId="1">Sheet1!#REF!</definedName>
    <definedName name="a_104" localSheetId="1">Sheet1!#REF!</definedName>
    <definedName name="a_105" localSheetId="1">Sheet1!#REF!</definedName>
    <definedName name="a_106" localSheetId="1">Sheet1!#REF!</definedName>
    <definedName name="a_107" localSheetId="1">Sheet1!#REF!</definedName>
    <definedName name="a_108" localSheetId="1">Sheet1!#REF!</definedName>
    <definedName name="a_109" localSheetId="1">Sheet1!#REF!</definedName>
    <definedName name="a_11" localSheetId="1">Sheet1!#REF!</definedName>
    <definedName name="a_110" localSheetId="1">Sheet1!#REF!</definedName>
    <definedName name="a_111" localSheetId="1">Sheet1!#REF!</definedName>
    <definedName name="a_112" localSheetId="1">Sheet1!#REF!</definedName>
    <definedName name="a_113" localSheetId="1">Sheet1!#REF!</definedName>
    <definedName name="a_114" localSheetId="1">Sheet1!#REF!</definedName>
    <definedName name="a_115" localSheetId="1">Sheet1!#REF!</definedName>
    <definedName name="a_116" localSheetId="1">Sheet1!#REF!</definedName>
    <definedName name="a_117" localSheetId="1">Sheet1!#REF!</definedName>
    <definedName name="a_118" localSheetId="1">Sheet1!#REF!</definedName>
    <definedName name="a_119" localSheetId="1">Sheet1!#REF!</definedName>
    <definedName name="a_12" localSheetId="1">Sheet1!#REF!</definedName>
    <definedName name="a_120" localSheetId="1">Sheet1!#REF!</definedName>
    <definedName name="a_121" localSheetId="1">Sheet1!#REF!</definedName>
    <definedName name="a_122" localSheetId="1">Sheet1!#REF!</definedName>
    <definedName name="a_123" localSheetId="1">Sheet1!#REF!</definedName>
    <definedName name="a_124" localSheetId="1">Sheet1!#REF!</definedName>
    <definedName name="a_125" localSheetId="1">Sheet1!#REF!</definedName>
    <definedName name="a_126" localSheetId="1">Sheet1!#REF!</definedName>
    <definedName name="a_127" localSheetId="1">Sheet1!#REF!</definedName>
    <definedName name="a_128" localSheetId="1">Sheet1!#REF!</definedName>
    <definedName name="a_129" localSheetId="1">Sheet1!#REF!</definedName>
    <definedName name="a_13" localSheetId="1">Sheet1!#REF!</definedName>
    <definedName name="a_130" localSheetId="1">Sheet1!#REF!</definedName>
    <definedName name="a_131" localSheetId="1">Sheet1!#REF!</definedName>
    <definedName name="a_132" localSheetId="1">Sheet1!#REF!</definedName>
    <definedName name="a_133" localSheetId="1">Sheet1!#REF!</definedName>
    <definedName name="a_134" localSheetId="1">Sheet1!#REF!</definedName>
    <definedName name="a_135" localSheetId="1">Sheet1!#REF!</definedName>
    <definedName name="a_136" localSheetId="1">Sheet1!#REF!</definedName>
    <definedName name="a_137" localSheetId="1">Sheet1!#REF!</definedName>
    <definedName name="a_138" localSheetId="1">Sheet1!#REF!</definedName>
    <definedName name="a_139" localSheetId="1">Sheet1!#REF!</definedName>
    <definedName name="a_14" localSheetId="1">Sheet1!#REF!</definedName>
    <definedName name="a_140" localSheetId="1">Sheet1!#REF!</definedName>
    <definedName name="a_141" localSheetId="1">Sheet1!#REF!</definedName>
    <definedName name="a_142" localSheetId="1">Sheet1!#REF!</definedName>
    <definedName name="a_143" localSheetId="1">Sheet1!#REF!</definedName>
    <definedName name="a_144" localSheetId="1">Sheet1!#REF!</definedName>
    <definedName name="a_145" localSheetId="1">Sheet1!#REF!</definedName>
    <definedName name="a_146" localSheetId="1">Sheet1!#REF!</definedName>
    <definedName name="a_147" localSheetId="1">Sheet1!#REF!</definedName>
    <definedName name="a_148" localSheetId="1">Sheet1!#REF!</definedName>
    <definedName name="a_149" localSheetId="1">Sheet1!#REF!</definedName>
    <definedName name="a_15" localSheetId="1">Sheet1!#REF!</definedName>
    <definedName name="a_150" localSheetId="1">Sheet1!#REF!</definedName>
    <definedName name="a_151" localSheetId="1">Sheet1!#REF!</definedName>
    <definedName name="a_152" localSheetId="1">Sheet1!#REF!</definedName>
    <definedName name="a_153" localSheetId="1">Sheet1!#REF!</definedName>
    <definedName name="a_154" localSheetId="1">Sheet1!#REF!</definedName>
    <definedName name="a_155" localSheetId="1">Sheet1!#REF!</definedName>
    <definedName name="a_156" localSheetId="1">Sheet1!#REF!</definedName>
    <definedName name="a_157" localSheetId="1">Sheet1!#REF!</definedName>
    <definedName name="a_158" localSheetId="1">Sheet1!#REF!</definedName>
    <definedName name="a_159" localSheetId="1">Sheet1!#REF!</definedName>
    <definedName name="a_16" localSheetId="1">Sheet1!#REF!</definedName>
    <definedName name="a_160" localSheetId="1">Sheet1!#REF!</definedName>
    <definedName name="a_161" localSheetId="1">Sheet1!#REF!</definedName>
    <definedName name="a_162" localSheetId="1">Sheet1!#REF!</definedName>
    <definedName name="a_163" localSheetId="1">Sheet1!#REF!</definedName>
    <definedName name="a_164" localSheetId="1">Sheet1!#REF!</definedName>
    <definedName name="a_165" localSheetId="1">Sheet1!#REF!</definedName>
    <definedName name="a_166" localSheetId="1">Sheet1!#REF!</definedName>
    <definedName name="a_167" localSheetId="1">Sheet1!#REF!</definedName>
    <definedName name="a_168" localSheetId="1">Sheet1!#REF!</definedName>
    <definedName name="a_169" localSheetId="1">Sheet1!#REF!</definedName>
    <definedName name="a_17" localSheetId="1">Sheet1!#REF!</definedName>
    <definedName name="a_170" localSheetId="1">Sheet1!#REF!</definedName>
    <definedName name="a_171" localSheetId="1">Sheet1!#REF!</definedName>
    <definedName name="a_172" localSheetId="1">Sheet1!#REF!</definedName>
    <definedName name="a_173" localSheetId="1">Sheet1!#REF!</definedName>
    <definedName name="a_174" localSheetId="1">Sheet1!#REF!</definedName>
    <definedName name="a_175" localSheetId="1">Sheet1!#REF!</definedName>
    <definedName name="a_176" localSheetId="1">Sheet1!#REF!</definedName>
    <definedName name="a_177" localSheetId="1">Sheet1!#REF!</definedName>
    <definedName name="a_178" localSheetId="1">Sheet1!#REF!</definedName>
    <definedName name="a_179" localSheetId="1">Sheet1!#REF!</definedName>
    <definedName name="a_18" localSheetId="1">Sheet1!#REF!</definedName>
    <definedName name="a_180" localSheetId="1">Sheet1!#REF!</definedName>
    <definedName name="a_181" localSheetId="1">Sheet1!#REF!</definedName>
    <definedName name="a_182" localSheetId="1">Sheet1!#REF!</definedName>
    <definedName name="a_183" localSheetId="1">Sheet1!#REF!</definedName>
    <definedName name="a_184" localSheetId="1">Sheet1!#REF!</definedName>
    <definedName name="a_185" localSheetId="1">Sheet1!#REF!</definedName>
    <definedName name="a_186" localSheetId="1">Sheet1!#REF!</definedName>
    <definedName name="a_187" localSheetId="1">Sheet1!#REF!</definedName>
    <definedName name="a_188" localSheetId="1">Sheet1!#REF!</definedName>
    <definedName name="a_189" localSheetId="1">Sheet1!#REF!</definedName>
    <definedName name="a_19" localSheetId="1">Sheet1!#REF!</definedName>
    <definedName name="a_190" localSheetId="1">Sheet1!#REF!</definedName>
    <definedName name="a_191" localSheetId="1">Sheet1!#REF!</definedName>
    <definedName name="a_192" localSheetId="1">Sheet1!#REF!</definedName>
    <definedName name="a_193" localSheetId="1">Sheet1!#REF!</definedName>
    <definedName name="a_194" localSheetId="1">Sheet1!#REF!</definedName>
    <definedName name="a_195" localSheetId="1">Sheet1!#REF!</definedName>
    <definedName name="a_196" localSheetId="1">Sheet1!#REF!</definedName>
    <definedName name="a_197" localSheetId="1">Sheet1!#REF!</definedName>
    <definedName name="a_198" localSheetId="1">Sheet1!#REF!</definedName>
    <definedName name="a_199" localSheetId="1">Sheet1!#REF!</definedName>
    <definedName name="a_2" localSheetId="1">Sheet1!#REF!</definedName>
    <definedName name="a_2" localSheetId="2">Sheet2!#REF!</definedName>
    <definedName name="a_20" localSheetId="1">Sheet1!#REF!</definedName>
    <definedName name="a_200" localSheetId="1">Sheet1!#REF!</definedName>
    <definedName name="a_201" localSheetId="1">Sheet1!#REF!</definedName>
    <definedName name="a_202" localSheetId="1">Sheet1!#REF!</definedName>
    <definedName name="a_203" localSheetId="1">Sheet1!#REF!</definedName>
    <definedName name="a_204" localSheetId="1">Sheet1!#REF!</definedName>
    <definedName name="a_205" localSheetId="1">Sheet1!#REF!</definedName>
    <definedName name="a_206" localSheetId="1">Sheet1!#REF!</definedName>
    <definedName name="a_207" localSheetId="1">Sheet1!#REF!</definedName>
    <definedName name="a_208" localSheetId="1">Sheet1!#REF!</definedName>
    <definedName name="a_209" localSheetId="1">Sheet1!#REF!</definedName>
    <definedName name="a_21" localSheetId="1">Sheet1!#REF!</definedName>
    <definedName name="a_210" localSheetId="1">Sheet1!#REF!</definedName>
    <definedName name="a_211" localSheetId="1">Sheet1!#REF!</definedName>
    <definedName name="a_212" localSheetId="1">Sheet1!#REF!</definedName>
    <definedName name="a_213" localSheetId="1">Sheet1!#REF!</definedName>
    <definedName name="a_214" localSheetId="1">Sheet1!#REF!</definedName>
    <definedName name="a_215" localSheetId="1">Sheet1!#REF!</definedName>
    <definedName name="a_216" localSheetId="1">Sheet1!#REF!</definedName>
    <definedName name="a_217" localSheetId="1">Sheet1!#REF!</definedName>
    <definedName name="a_218" localSheetId="1">Sheet1!#REF!</definedName>
    <definedName name="a_219" localSheetId="1">Sheet1!#REF!</definedName>
    <definedName name="a_22" localSheetId="1">Sheet1!#REF!</definedName>
    <definedName name="a_220" localSheetId="1">Sheet1!#REF!</definedName>
    <definedName name="a_221" localSheetId="1">Sheet1!#REF!</definedName>
    <definedName name="a_222" localSheetId="1">Sheet1!#REF!</definedName>
    <definedName name="a_223" localSheetId="1">Sheet1!#REF!</definedName>
    <definedName name="a_224" localSheetId="1">Sheet1!#REF!</definedName>
    <definedName name="a_225" localSheetId="1">Sheet1!#REF!</definedName>
    <definedName name="a_226" localSheetId="1">Sheet1!#REF!</definedName>
    <definedName name="a_227" localSheetId="1">Sheet1!#REF!</definedName>
    <definedName name="a_228" localSheetId="1">Sheet1!#REF!</definedName>
    <definedName name="a_229" localSheetId="1">Sheet1!#REF!</definedName>
    <definedName name="a_23" localSheetId="1">Sheet1!#REF!</definedName>
    <definedName name="a_230" localSheetId="1">Sheet1!#REF!</definedName>
    <definedName name="a_231" localSheetId="1">Sheet1!#REF!</definedName>
    <definedName name="a_232" localSheetId="1">Sheet1!#REF!</definedName>
    <definedName name="a_233" localSheetId="1">Sheet1!#REF!</definedName>
    <definedName name="a_234" localSheetId="1">Sheet1!#REF!</definedName>
    <definedName name="a_235" localSheetId="1">Sheet1!#REF!</definedName>
    <definedName name="a_236" localSheetId="1">Sheet1!#REF!</definedName>
    <definedName name="a_237" localSheetId="1">Sheet1!#REF!</definedName>
    <definedName name="a_238" localSheetId="1">Sheet1!#REF!</definedName>
    <definedName name="a_239" localSheetId="1">Sheet1!#REF!</definedName>
    <definedName name="a_24" localSheetId="1">Sheet1!#REF!</definedName>
    <definedName name="a_240" localSheetId="1">Sheet1!#REF!</definedName>
    <definedName name="a_241" localSheetId="1">Sheet1!#REF!</definedName>
    <definedName name="a_242" localSheetId="1">Sheet1!#REF!</definedName>
    <definedName name="a_243" localSheetId="1">Sheet1!#REF!</definedName>
    <definedName name="a_244" localSheetId="1">Sheet1!#REF!</definedName>
    <definedName name="a_245" localSheetId="1">Sheet1!#REF!</definedName>
    <definedName name="a_246" localSheetId="1">Sheet1!#REF!</definedName>
    <definedName name="a_247" localSheetId="1">Sheet1!#REF!</definedName>
    <definedName name="a_248" localSheetId="1">Sheet1!#REF!</definedName>
    <definedName name="a_249" localSheetId="1">Sheet1!#REF!</definedName>
    <definedName name="a_25" localSheetId="1">Sheet1!#REF!</definedName>
    <definedName name="a_250" localSheetId="1">Sheet1!#REF!</definedName>
    <definedName name="a_251" localSheetId="1">Sheet1!#REF!</definedName>
    <definedName name="a_252" localSheetId="1">Sheet1!#REF!</definedName>
    <definedName name="a_253" localSheetId="1">Sheet1!#REF!</definedName>
    <definedName name="a_254" localSheetId="1">Sheet1!#REF!</definedName>
    <definedName name="a_255" localSheetId="1">Sheet1!#REF!</definedName>
    <definedName name="a_256" localSheetId="1">Sheet1!#REF!</definedName>
    <definedName name="a_257" localSheetId="1">Sheet1!#REF!</definedName>
    <definedName name="a_258" localSheetId="1">Sheet1!#REF!</definedName>
    <definedName name="a_259" localSheetId="1">Sheet1!#REF!</definedName>
    <definedName name="a_26" localSheetId="1">Sheet1!#REF!</definedName>
    <definedName name="a_260" localSheetId="1">Sheet1!#REF!</definedName>
    <definedName name="a_261" localSheetId="1">Sheet1!#REF!</definedName>
    <definedName name="a_262" localSheetId="1">Sheet1!#REF!</definedName>
    <definedName name="a_263" localSheetId="1">Sheet1!#REF!</definedName>
    <definedName name="a_264" localSheetId="1">Sheet1!#REF!</definedName>
    <definedName name="a_265" localSheetId="1">Sheet1!#REF!</definedName>
    <definedName name="a_266" localSheetId="1">Sheet1!#REF!</definedName>
    <definedName name="a_267" localSheetId="1">Sheet1!#REF!</definedName>
    <definedName name="a_268" localSheetId="1">Sheet1!#REF!</definedName>
    <definedName name="a_269" localSheetId="1">Sheet1!#REF!</definedName>
    <definedName name="a_27" localSheetId="1">Sheet1!#REF!</definedName>
    <definedName name="a_270" localSheetId="1">Sheet1!#REF!</definedName>
    <definedName name="a_271" localSheetId="1">Sheet1!#REF!</definedName>
    <definedName name="a_272" localSheetId="1">Sheet1!#REF!</definedName>
    <definedName name="a_273" localSheetId="1">Sheet1!#REF!</definedName>
    <definedName name="a_274" localSheetId="1">Sheet1!#REF!</definedName>
    <definedName name="a_275" localSheetId="1">Sheet1!#REF!</definedName>
    <definedName name="a_276" localSheetId="1">Sheet1!#REF!</definedName>
    <definedName name="a_277" localSheetId="1">Sheet1!#REF!</definedName>
    <definedName name="a_278" localSheetId="1">Sheet1!#REF!</definedName>
    <definedName name="a_279" localSheetId="1">Sheet1!#REF!</definedName>
    <definedName name="a_28" localSheetId="1">Sheet1!#REF!</definedName>
    <definedName name="a_280" localSheetId="1">Sheet1!#REF!</definedName>
    <definedName name="a_281" localSheetId="1">Sheet1!#REF!</definedName>
    <definedName name="a_282" localSheetId="1">Sheet1!#REF!</definedName>
    <definedName name="a_283" localSheetId="1">Sheet1!#REF!</definedName>
    <definedName name="a_284" localSheetId="1">Sheet1!#REF!</definedName>
    <definedName name="a_285" localSheetId="1">Sheet1!#REF!</definedName>
    <definedName name="a_286" localSheetId="1">Sheet1!#REF!</definedName>
    <definedName name="a_287" localSheetId="1">Sheet1!#REF!</definedName>
    <definedName name="a_288" localSheetId="1">Sheet1!#REF!</definedName>
    <definedName name="a_289" localSheetId="1">Sheet1!#REF!</definedName>
    <definedName name="a_29" localSheetId="1">Sheet1!#REF!</definedName>
    <definedName name="a_290" localSheetId="1">Sheet1!#REF!</definedName>
    <definedName name="a_291" localSheetId="1">Sheet1!#REF!</definedName>
    <definedName name="a_292" localSheetId="1">Sheet1!#REF!</definedName>
    <definedName name="a_293" localSheetId="1">Sheet1!#REF!</definedName>
    <definedName name="a_294" localSheetId="1">Sheet1!#REF!</definedName>
    <definedName name="a_295" localSheetId="1">Sheet1!#REF!</definedName>
    <definedName name="a_296" localSheetId="1">Sheet1!#REF!</definedName>
    <definedName name="a_297" localSheetId="1">Sheet1!#REF!</definedName>
    <definedName name="a_298" localSheetId="1">Sheet1!#REF!</definedName>
    <definedName name="a_299" localSheetId="1">Sheet1!#REF!</definedName>
    <definedName name="a_3" localSheetId="1">Sheet1!#REF!</definedName>
    <definedName name="a_3" localSheetId="2">Sheet2!#REF!</definedName>
    <definedName name="a_30" localSheetId="1">Sheet1!#REF!</definedName>
    <definedName name="a_300" localSheetId="1">Sheet1!#REF!</definedName>
    <definedName name="a_301" localSheetId="1">Sheet1!#REF!</definedName>
    <definedName name="a_302" localSheetId="1">Sheet1!#REF!</definedName>
    <definedName name="a_303" localSheetId="1">Sheet1!#REF!</definedName>
    <definedName name="a_304" localSheetId="1">Sheet1!#REF!</definedName>
    <definedName name="a_305" localSheetId="1">Sheet1!#REF!</definedName>
    <definedName name="a_306" localSheetId="1">Sheet1!#REF!</definedName>
    <definedName name="a_307" localSheetId="1">Sheet1!#REF!</definedName>
    <definedName name="a_308" localSheetId="1">Sheet1!#REF!</definedName>
    <definedName name="a_309" localSheetId="1">Sheet1!#REF!</definedName>
    <definedName name="a_31" localSheetId="1">Sheet1!#REF!</definedName>
    <definedName name="a_310" localSheetId="1">Sheet1!#REF!</definedName>
    <definedName name="a_311" localSheetId="1">Sheet1!#REF!</definedName>
    <definedName name="a_312" localSheetId="1">Sheet1!#REF!</definedName>
    <definedName name="a_313" localSheetId="1">Sheet1!#REF!</definedName>
    <definedName name="a_314" localSheetId="1">Sheet1!#REF!</definedName>
    <definedName name="a_315" localSheetId="1">Sheet1!#REF!</definedName>
    <definedName name="a_316" localSheetId="1">Sheet1!#REF!</definedName>
    <definedName name="a_317" localSheetId="1">Sheet1!#REF!</definedName>
    <definedName name="a_318" localSheetId="1">Sheet1!#REF!</definedName>
    <definedName name="a_319" localSheetId="1">Sheet1!#REF!</definedName>
    <definedName name="a_32" localSheetId="1">Sheet1!#REF!</definedName>
    <definedName name="a_320" localSheetId="1">Sheet1!#REF!</definedName>
    <definedName name="a_321" localSheetId="1">Sheet1!#REF!</definedName>
    <definedName name="a_322" localSheetId="1">Sheet1!#REF!</definedName>
    <definedName name="a_323" localSheetId="1">Sheet1!#REF!</definedName>
    <definedName name="a_324" localSheetId="1">Sheet1!#REF!</definedName>
    <definedName name="a_325" localSheetId="1">Sheet1!#REF!</definedName>
    <definedName name="a_326" localSheetId="1">Sheet1!#REF!</definedName>
    <definedName name="a_327" localSheetId="1">Sheet1!#REF!</definedName>
    <definedName name="a_328" localSheetId="1">Sheet1!#REF!</definedName>
    <definedName name="a_329" localSheetId="1">Sheet1!#REF!</definedName>
    <definedName name="a_33" localSheetId="1">Sheet1!#REF!</definedName>
    <definedName name="a_330" localSheetId="1">Sheet1!#REF!</definedName>
    <definedName name="a_331" localSheetId="1">Sheet1!#REF!</definedName>
    <definedName name="a_332" localSheetId="1">Sheet1!#REF!</definedName>
    <definedName name="a_333" localSheetId="1">Sheet1!#REF!</definedName>
    <definedName name="a_334" localSheetId="1">Sheet1!#REF!</definedName>
    <definedName name="a_335" localSheetId="1">Sheet1!#REF!</definedName>
    <definedName name="a_336" localSheetId="1">Sheet1!#REF!</definedName>
    <definedName name="a_337" localSheetId="1">Sheet1!#REF!</definedName>
    <definedName name="a_338" localSheetId="1">Sheet1!#REF!</definedName>
    <definedName name="a_339" localSheetId="1">Sheet1!#REF!</definedName>
    <definedName name="a_34" localSheetId="1">Sheet1!#REF!</definedName>
    <definedName name="a_340" localSheetId="1">Sheet1!#REF!</definedName>
    <definedName name="a_341" localSheetId="1">Sheet1!#REF!</definedName>
    <definedName name="a_342" localSheetId="1">Sheet1!#REF!</definedName>
    <definedName name="a_343" localSheetId="1">Sheet1!#REF!</definedName>
    <definedName name="a_344" localSheetId="1">Sheet1!#REF!</definedName>
    <definedName name="a_345" localSheetId="1">Sheet1!#REF!</definedName>
    <definedName name="a_346" localSheetId="1">Sheet1!#REF!</definedName>
    <definedName name="a_347" localSheetId="1">Sheet1!#REF!</definedName>
    <definedName name="a_348" localSheetId="1">Sheet1!#REF!</definedName>
    <definedName name="a_349" localSheetId="1">Sheet1!#REF!</definedName>
    <definedName name="a_35" localSheetId="1">Sheet1!#REF!</definedName>
    <definedName name="a_350" localSheetId="1">Sheet1!#REF!</definedName>
    <definedName name="a_351" localSheetId="1">Sheet1!#REF!</definedName>
    <definedName name="a_352" localSheetId="1">Sheet1!#REF!</definedName>
    <definedName name="a_353" localSheetId="1">Sheet1!#REF!</definedName>
    <definedName name="a_354" localSheetId="1">Sheet1!#REF!</definedName>
    <definedName name="a_355" localSheetId="1">Sheet1!#REF!</definedName>
    <definedName name="a_356" localSheetId="1">Sheet1!#REF!</definedName>
    <definedName name="a_357" localSheetId="1">Sheet1!#REF!</definedName>
    <definedName name="a_358" localSheetId="1">Sheet1!#REF!</definedName>
    <definedName name="a_359" localSheetId="1">Sheet1!#REF!</definedName>
    <definedName name="a_36" localSheetId="1">Sheet1!#REF!</definedName>
    <definedName name="a_360" localSheetId="1">Sheet1!#REF!</definedName>
    <definedName name="a_361" localSheetId="1">Sheet1!#REF!</definedName>
    <definedName name="a_362" localSheetId="1">Sheet1!#REF!</definedName>
    <definedName name="a_363" localSheetId="1">Sheet1!#REF!</definedName>
    <definedName name="a_364" localSheetId="1">Sheet1!#REF!</definedName>
    <definedName name="a_365" localSheetId="1">Sheet1!#REF!</definedName>
    <definedName name="a_366" localSheetId="1">Sheet1!#REF!</definedName>
    <definedName name="a_367" localSheetId="1">Sheet1!#REF!</definedName>
    <definedName name="a_368" localSheetId="1">Sheet1!#REF!</definedName>
    <definedName name="a_369" localSheetId="1">Sheet1!#REF!</definedName>
    <definedName name="a_37" localSheetId="1">Sheet1!#REF!</definedName>
    <definedName name="a_370" localSheetId="1">Sheet1!#REF!</definedName>
    <definedName name="a_371" localSheetId="1">Sheet1!#REF!</definedName>
    <definedName name="a_372" localSheetId="1">Sheet1!#REF!</definedName>
    <definedName name="a_373" localSheetId="1">Sheet1!#REF!</definedName>
    <definedName name="a_374" localSheetId="1">Sheet1!#REF!</definedName>
    <definedName name="a_375" localSheetId="1">Sheet1!#REF!</definedName>
    <definedName name="a_376" localSheetId="1">Sheet1!#REF!</definedName>
    <definedName name="a_377" localSheetId="1">Sheet1!#REF!</definedName>
    <definedName name="a_378" localSheetId="1">Sheet1!#REF!</definedName>
    <definedName name="a_379" localSheetId="1">Sheet1!#REF!</definedName>
    <definedName name="a_38" localSheetId="1">Sheet1!#REF!</definedName>
    <definedName name="a_380" localSheetId="1">Sheet1!#REF!</definedName>
    <definedName name="a_381" localSheetId="1">Sheet1!#REF!</definedName>
    <definedName name="a_382" localSheetId="1">Sheet1!#REF!</definedName>
    <definedName name="a_383" localSheetId="1">Sheet1!#REF!</definedName>
    <definedName name="a_384" localSheetId="1">Sheet1!#REF!</definedName>
    <definedName name="a_385" localSheetId="1">Sheet1!#REF!</definedName>
    <definedName name="a_386" localSheetId="1">Sheet1!#REF!</definedName>
    <definedName name="a_387" localSheetId="1">Sheet1!#REF!</definedName>
    <definedName name="a_388" localSheetId="1">Sheet1!#REF!</definedName>
    <definedName name="a_389" localSheetId="1">Sheet1!#REF!</definedName>
    <definedName name="a_39" localSheetId="1">Sheet1!#REF!</definedName>
    <definedName name="a_390" localSheetId="1">Sheet1!#REF!</definedName>
    <definedName name="a_391" localSheetId="1">Sheet1!#REF!</definedName>
    <definedName name="a_392" localSheetId="1">Sheet1!#REF!</definedName>
    <definedName name="a_393" localSheetId="1">Sheet1!#REF!</definedName>
    <definedName name="a_394" localSheetId="1">Sheet1!#REF!</definedName>
    <definedName name="a_395" localSheetId="1">Sheet1!#REF!</definedName>
    <definedName name="a_396" localSheetId="1">Sheet1!#REF!</definedName>
    <definedName name="a_397" localSheetId="1">Sheet1!#REF!</definedName>
    <definedName name="a_398" localSheetId="1">Sheet1!#REF!</definedName>
    <definedName name="a_399" localSheetId="1">Sheet1!#REF!</definedName>
    <definedName name="a_4" localSheetId="1">Sheet1!#REF!</definedName>
    <definedName name="a_4" localSheetId="2">Sheet2!#REF!</definedName>
    <definedName name="a_40" localSheetId="1">Sheet1!#REF!</definedName>
    <definedName name="a_400" localSheetId="1">Sheet1!#REF!</definedName>
    <definedName name="a_401" localSheetId="1">Sheet1!#REF!</definedName>
    <definedName name="a_402" localSheetId="1">Sheet1!#REF!</definedName>
    <definedName name="a_403" localSheetId="1">Sheet1!#REF!</definedName>
    <definedName name="a_404" localSheetId="1">Sheet1!#REF!</definedName>
    <definedName name="a_405" localSheetId="1">Sheet1!#REF!</definedName>
    <definedName name="a_406" localSheetId="1">Sheet1!#REF!</definedName>
    <definedName name="a_407" localSheetId="1">Sheet1!#REF!</definedName>
    <definedName name="a_408" localSheetId="1">Sheet1!#REF!</definedName>
    <definedName name="a_409" localSheetId="1">Sheet1!#REF!</definedName>
    <definedName name="a_41" localSheetId="1">Sheet1!#REF!</definedName>
    <definedName name="a_410" localSheetId="1">Sheet1!#REF!</definedName>
    <definedName name="a_411" localSheetId="1">Sheet1!#REF!</definedName>
    <definedName name="a_412" localSheetId="1">Sheet1!#REF!</definedName>
    <definedName name="a_413" localSheetId="1">Sheet1!#REF!</definedName>
    <definedName name="a_414" localSheetId="1">Sheet1!#REF!</definedName>
    <definedName name="a_415" localSheetId="1">Sheet1!#REF!</definedName>
    <definedName name="a_416" localSheetId="1">Sheet1!#REF!</definedName>
    <definedName name="a_417" localSheetId="1">Sheet1!#REF!</definedName>
    <definedName name="a_418" localSheetId="1">Sheet1!#REF!</definedName>
    <definedName name="a_419" localSheetId="1">Sheet1!#REF!</definedName>
    <definedName name="a_42" localSheetId="1">Sheet1!#REF!</definedName>
    <definedName name="a_420" localSheetId="1">Sheet1!#REF!</definedName>
    <definedName name="a_421" localSheetId="1">Sheet1!#REF!</definedName>
    <definedName name="a_422" localSheetId="1">Sheet1!#REF!</definedName>
    <definedName name="a_423" localSheetId="1">Sheet1!#REF!</definedName>
    <definedName name="a_424" localSheetId="1">Sheet1!#REF!</definedName>
    <definedName name="a_425" localSheetId="1">Sheet1!#REF!</definedName>
    <definedName name="a_426" localSheetId="1">Sheet1!#REF!</definedName>
    <definedName name="a_427" localSheetId="1">Sheet1!#REF!</definedName>
    <definedName name="a_428" localSheetId="1">Sheet1!#REF!</definedName>
    <definedName name="a_429" localSheetId="1">Sheet1!#REF!</definedName>
    <definedName name="a_43" localSheetId="1">Sheet1!#REF!</definedName>
    <definedName name="a_430" localSheetId="1">Sheet1!#REF!</definedName>
    <definedName name="a_431" localSheetId="1">Sheet1!#REF!</definedName>
    <definedName name="a_432" localSheetId="1">Sheet1!#REF!</definedName>
    <definedName name="a_433" localSheetId="1">Sheet1!#REF!</definedName>
    <definedName name="a_434" localSheetId="1">Sheet1!#REF!</definedName>
    <definedName name="a_435" localSheetId="1">Sheet1!#REF!</definedName>
    <definedName name="a_436" localSheetId="1">Sheet1!#REF!</definedName>
    <definedName name="a_437" localSheetId="1">Sheet1!#REF!</definedName>
    <definedName name="a_438" localSheetId="1">Sheet1!#REF!</definedName>
    <definedName name="a_439" localSheetId="1">Sheet1!#REF!</definedName>
    <definedName name="a_44" localSheetId="1">Sheet1!#REF!</definedName>
    <definedName name="a_440" localSheetId="1">Sheet1!#REF!</definedName>
    <definedName name="a_441" localSheetId="1">Sheet1!#REF!</definedName>
    <definedName name="a_442" localSheetId="1">Sheet1!#REF!</definedName>
    <definedName name="a_443" localSheetId="1">Sheet1!#REF!</definedName>
    <definedName name="a_444" localSheetId="1">Sheet1!#REF!</definedName>
    <definedName name="a_445" localSheetId="1">Sheet1!#REF!</definedName>
    <definedName name="a_446" localSheetId="1">Sheet1!#REF!</definedName>
    <definedName name="a_447" localSheetId="1">Sheet1!#REF!</definedName>
    <definedName name="a_448" localSheetId="1">Sheet1!#REF!</definedName>
    <definedName name="a_449" localSheetId="1">Sheet1!#REF!</definedName>
    <definedName name="a_45" localSheetId="1">Sheet1!#REF!</definedName>
    <definedName name="a_450" localSheetId="1">Sheet1!#REF!</definedName>
    <definedName name="a_451" localSheetId="1">Sheet1!#REF!</definedName>
    <definedName name="a_452" localSheetId="1">Sheet1!#REF!</definedName>
    <definedName name="a_453" localSheetId="1">Sheet1!#REF!</definedName>
    <definedName name="a_454" localSheetId="1">Sheet1!#REF!</definedName>
    <definedName name="a_455" localSheetId="1">Sheet1!#REF!</definedName>
    <definedName name="a_456" localSheetId="1">Sheet1!#REF!</definedName>
    <definedName name="a_457" localSheetId="1">Sheet1!#REF!</definedName>
    <definedName name="a_458" localSheetId="1">Sheet1!#REF!</definedName>
    <definedName name="a_459" localSheetId="1">Sheet1!#REF!</definedName>
    <definedName name="a_46" localSheetId="1">Sheet1!#REF!</definedName>
    <definedName name="a_460" localSheetId="1">Sheet1!#REF!</definedName>
    <definedName name="a_461" localSheetId="1">Sheet1!#REF!</definedName>
    <definedName name="a_462" localSheetId="1">Sheet1!#REF!</definedName>
    <definedName name="a_463" localSheetId="1">Sheet1!#REF!</definedName>
    <definedName name="a_464" localSheetId="1">Sheet1!#REF!</definedName>
    <definedName name="a_465" localSheetId="1">Sheet1!#REF!</definedName>
    <definedName name="a_466" localSheetId="1">Sheet1!#REF!</definedName>
    <definedName name="a_467" localSheetId="1">Sheet1!#REF!</definedName>
    <definedName name="a_468" localSheetId="1">Sheet1!#REF!</definedName>
    <definedName name="a_469" localSheetId="1">Sheet1!#REF!</definedName>
    <definedName name="a_47" localSheetId="1">Sheet1!#REF!</definedName>
    <definedName name="a_470" localSheetId="1">Sheet1!#REF!</definedName>
    <definedName name="a_471" localSheetId="1">Sheet1!#REF!</definedName>
    <definedName name="a_472" localSheetId="1">Sheet1!#REF!</definedName>
    <definedName name="a_473" localSheetId="1">Sheet1!#REF!</definedName>
    <definedName name="a_474" localSheetId="1">Sheet1!#REF!</definedName>
    <definedName name="a_475" localSheetId="1">Sheet1!#REF!</definedName>
    <definedName name="a_476" localSheetId="1">Sheet1!#REF!</definedName>
    <definedName name="a_477" localSheetId="1">Sheet1!#REF!</definedName>
    <definedName name="a_478" localSheetId="1">Sheet1!#REF!</definedName>
    <definedName name="a_479" localSheetId="1">Sheet1!#REF!</definedName>
    <definedName name="a_48" localSheetId="1">Sheet1!#REF!</definedName>
    <definedName name="a_480" localSheetId="1">Sheet1!#REF!</definedName>
    <definedName name="a_481" localSheetId="1">Sheet1!#REF!</definedName>
    <definedName name="a_482" localSheetId="1">Sheet1!#REF!</definedName>
    <definedName name="a_483" localSheetId="1">Sheet1!#REF!</definedName>
    <definedName name="a_484" localSheetId="1">Sheet1!#REF!</definedName>
    <definedName name="a_485" localSheetId="1">Sheet1!#REF!</definedName>
    <definedName name="a_486" localSheetId="1">Sheet1!#REF!</definedName>
    <definedName name="a_487" localSheetId="1">Sheet1!#REF!</definedName>
    <definedName name="a_488" localSheetId="1">Sheet1!#REF!</definedName>
    <definedName name="a_489" localSheetId="1">Sheet1!#REF!</definedName>
    <definedName name="a_49" localSheetId="1">Sheet1!#REF!</definedName>
    <definedName name="a_490" localSheetId="1">Sheet1!#REF!</definedName>
    <definedName name="a_491" localSheetId="1">Sheet1!#REF!</definedName>
    <definedName name="a_492" localSheetId="1">Sheet1!#REF!</definedName>
    <definedName name="a_493" localSheetId="1">Sheet1!#REF!</definedName>
    <definedName name="a_494" localSheetId="1">Sheet1!#REF!</definedName>
    <definedName name="a_495" localSheetId="1">Sheet1!#REF!</definedName>
    <definedName name="a_496" localSheetId="1">Sheet1!#REF!</definedName>
    <definedName name="a_497" localSheetId="1">Sheet1!#REF!</definedName>
    <definedName name="a_498" localSheetId="1">Sheet1!#REF!</definedName>
    <definedName name="a_499" localSheetId="1">Sheet1!#REF!</definedName>
    <definedName name="a_5" localSheetId="1">Sheet1!#REF!</definedName>
    <definedName name="a_5" localSheetId="2">Sheet2!#REF!</definedName>
    <definedName name="a_50" localSheetId="1">Sheet1!#REF!</definedName>
    <definedName name="a_500" localSheetId="1">Sheet1!#REF!</definedName>
    <definedName name="a_501" localSheetId="1">Sheet1!#REF!</definedName>
    <definedName name="a_502" localSheetId="1">Sheet1!#REF!</definedName>
    <definedName name="a_503" localSheetId="1">Sheet1!#REF!</definedName>
    <definedName name="a_504" localSheetId="1">Sheet1!#REF!</definedName>
    <definedName name="a_505" localSheetId="1">Sheet1!#REF!</definedName>
    <definedName name="a_506" localSheetId="1">Sheet1!#REF!</definedName>
    <definedName name="a_507" localSheetId="1">Sheet1!#REF!</definedName>
    <definedName name="a_508" localSheetId="1">Sheet1!#REF!</definedName>
    <definedName name="a_509" localSheetId="1">Sheet1!#REF!</definedName>
    <definedName name="a_51" localSheetId="1">Sheet1!#REF!</definedName>
    <definedName name="a_510" localSheetId="1">Sheet1!#REF!</definedName>
    <definedName name="a_511" localSheetId="1">Sheet1!#REF!</definedName>
    <definedName name="a_512" localSheetId="1">Sheet1!#REF!</definedName>
    <definedName name="a_513" localSheetId="1">Sheet1!#REF!</definedName>
    <definedName name="a_514" localSheetId="1">Sheet1!#REF!</definedName>
    <definedName name="a_515" localSheetId="1">Sheet1!#REF!</definedName>
    <definedName name="a_516" localSheetId="1">Sheet1!#REF!</definedName>
    <definedName name="a_517" localSheetId="1">Sheet1!#REF!</definedName>
    <definedName name="a_518" localSheetId="1">Sheet1!#REF!</definedName>
    <definedName name="a_519" localSheetId="1">Sheet1!#REF!</definedName>
    <definedName name="a_52" localSheetId="1">Sheet1!#REF!</definedName>
    <definedName name="a_520" localSheetId="1">Sheet1!#REF!</definedName>
    <definedName name="a_521" localSheetId="1">Sheet1!#REF!</definedName>
    <definedName name="a_522" localSheetId="1">Sheet1!#REF!</definedName>
    <definedName name="a_523" localSheetId="1">Sheet1!#REF!</definedName>
    <definedName name="a_524" localSheetId="1">Sheet1!#REF!</definedName>
    <definedName name="a_525" localSheetId="1">Sheet1!#REF!</definedName>
    <definedName name="a_526" localSheetId="1">Sheet1!#REF!</definedName>
    <definedName name="a_527" localSheetId="1">Sheet1!#REF!</definedName>
    <definedName name="a_528" localSheetId="1">Sheet1!#REF!</definedName>
    <definedName name="a_529" localSheetId="1">Sheet1!#REF!</definedName>
    <definedName name="a_53" localSheetId="1">Sheet1!#REF!</definedName>
    <definedName name="a_530" localSheetId="1">Sheet1!#REF!</definedName>
    <definedName name="a_531" localSheetId="1">Sheet1!#REF!</definedName>
    <definedName name="a_532" localSheetId="1">Sheet1!#REF!</definedName>
    <definedName name="a_533" localSheetId="1">Sheet1!#REF!</definedName>
    <definedName name="a_534" localSheetId="1">Sheet1!#REF!</definedName>
    <definedName name="a_535" localSheetId="1">Sheet1!#REF!</definedName>
    <definedName name="a_536" localSheetId="1">Sheet1!#REF!</definedName>
    <definedName name="a_537" localSheetId="1">Sheet1!#REF!</definedName>
    <definedName name="a_538" localSheetId="1">Sheet1!#REF!</definedName>
    <definedName name="a_539" localSheetId="1">Sheet1!#REF!</definedName>
    <definedName name="a_54" localSheetId="1">Sheet1!#REF!</definedName>
    <definedName name="a_540" localSheetId="1">Sheet1!#REF!</definedName>
    <definedName name="a_541" localSheetId="1">Sheet1!#REF!</definedName>
    <definedName name="a_542" localSheetId="1">Sheet1!#REF!</definedName>
    <definedName name="a_543" localSheetId="1">Sheet1!#REF!</definedName>
    <definedName name="a_544" localSheetId="1">Sheet1!#REF!</definedName>
    <definedName name="a_545" localSheetId="1">Sheet1!#REF!</definedName>
    <definedName name="a_546" localSheetId="1">Sheet1!#REF!</definedName>
    <definedName name="a_547" localSheetId="1">Sheet1!#REF!</definedName>
    <definedName name="a_548" localSheetId="1">Sheet1!#REF!</definedName>
    <definedName name="a_549" localSheetId="1">Sheet1!#REF!</definedName>
    <definedName name="a_55" localSheetId="1">Sheet1!#REF!</definedName>
    <definedName name="a_550" localSheetId="1">Sheet1!#REF!</definedName>
    <definedName name="a_551" localSheetId="1">Sheet1!#REF!</definedName>
    <definedName name="a_552" localSheetId="1">Sheet1!#REF!</definedName>
    <definedName name="a_553" localSheetId="1">Sheet1!#REF!</definedName>
    <definedName name="a_554" localSheetId="1">Sheet1!#REF!</definedName>
    <definedName name="a_555" localSheetId="1">Sheet1!#REF!</definedName>
    <definedName name="a_556" localSheetId="1">Sheet1!#REF!</definedName>
    <definedName name="a_557" localSheetId="1">Sheet1!#REF!</definedName>
    <definedName name="a_558" localSheetId="1">Sheet1!#REF!</definedName>
    <definedName name="a_559" localSheetId="1">Sheet1!#REF!</definedName>
    <definedName name="a_56" localSheetId="1">Sheet1!#REF!</definedName>
    <definedName name="a_560" localSheetId="1">Sheet1!#REF!</definedName>
    <definedName name="a_561" localSheetId="1">Sheet1!#REF!</definedName>
    <definedName name="a_562" localSheetId="1">Sheet1!#REF!</definedName>
    <definedName name="a_563" localSheetId="1">Sheet1!#REF!</definedName>
    <definedName name="a_564" localSheetId="1">Sheet1!#REF!</definedName>
    <definedName name="a_565" localSheetId="1">Sheet1!#REF!</definedName>
    <definedName name="a_566" localSheetId="1">Sheet1!#REF!</definedName>
    <definedName name="a_567" localSheetId="1">Sheet1!#REF!</definedName>
    <definedName name="a_568" localSheetId="1">Sheet1!#REF!</definedName>
    <definedName name="a_569" localSheetId="1">Sheet1!#REF!</definedName>
    <definedName name="a_57" localSheetId="1">Sheet1!#REF!</definedName>
    <definedName name="a_570" localSheetId="1">Sheet1!#REF!</definedName>
    <definedName name="a_571" localSheetId="1">Sheet1!#REF!</definedName>
    <definedName name="a_572" localSheetId="1">Sheet1!#REF!</definedName>
    <definedName name="a_573" localSheetId="1">Sheet1!#REF!</definedName>
    <definedName name="a_574" localSheetId="1">Sheet1!#REF!</definedName>
    <definedName name="a_575" localSheetId="1">Sheet1!#REF!</definedName>
    <definedName name="a_576" localSheetId="1">Sheet1!#REF!</definedName>
    <definedName name="a_577" localSheetId="1">Sheet1!#REF!</definedName>
    <definedName name="a_578" localSheetId="1">Sheet1!#REF!</definedName>
    <definedName name="a_579" localSheetId="1">Sheet1!#REF!</definedName>
    <definedName name="a_58" localSheetId="1">Sheet1!#REF!</definedName>
    <definedName name="a_580" localSheetId="1">Sheet1!#REF!</definedName>
    <definedName name="a_581" localSheetId="1">Sheet1!#REF!</definedName>
    <definedName name="a_582" localSheetId="1">Sheet1!#REF!</definedName>
    <definedName name="a_583" localSheetId="1">Sheet1!#REF!</definedName>
    <definedName name="a_584" localSheetId="1">Sheet1!#REF!</definedName>
    <definedName name="a_585" localSheetId="1">Sheet1!#REF!</definedName>
    <definedName name="a_586" localSheetId="1">Sheet1!#REF!</definedName>
    <definedName name="a_587" localSheetId="1">Sheet1!#REF!</definedName>
    <definedName name="a_588" localSheetId="1">Sheet1!#REF!</definedName>
    <definedName name="a_589" localSheetId="1">Sheet1!#REF!</definedName>
    <definedName name="a_59" localSheetId="1">Sheet1!#REF!</definedName>
    <definedName name="a_590" localSheetId="1">Sheet1!#REF!</definedName>
    <definedName name="a_591" localSheetId="1">Sheet1!#REF!</definedName>
    <definedName name="a_592" localSheetId="1">Sheet1!#REF!</definedName>
    <definedName name="a_593" localSheetId="1">Sheet1!#REF!</definedName>
    <definedName name="a_594" localSheetId="1">Sheet1!#REF!</definedName>
    <definedName name="a_595" localSheetId="1">Sheet1!#REF!</definedName>
    <definedName name="a_596" localSheetId="1">Sheet1!#REF!</definedName>
    <definedName name="a_597" localSheetId="1">Sheet1!#REF!</definedName>
    <definedName name="a_598" localSheetId="1">Sheet1!#REF!</definedName>
    <definedName name="a_599" localSheetId="1">Sheet1!#REF!</definedName>
    <definedName name="a_6" localSheetId="1">Sheet1!#REF!</definedName>
    <definedName name="a_6" localSheetId="2">Sheet2!#REF!</definedName>
    <definedName name="a_60" localSheetId="1">Sheet1!#REF!</definedName>
    <definedName name="a_600" localSheetId="1">Sheet1!#REF!</definedName>
    <definedName name="a_601" localSheetId="1">Sheet1!#REF!</definedName>
    <definedName name="a_602" localSheetId="1">Sheet1!#REF!</definedName>
    <definedName name="a_603" localSheetId="1">Sheet1!#REF!</definedName>
    <definedName name="a_604" localSheetId="1">Sheet1!#REF!</definedName>
    <definedName name="a_605" localSheetId="1">Sheet1!#REF!</definedName>
    <definedName name="a_606" localSheetId="1">Sheet1!#REF!</definedName>
    <definedName name="a_607" localSheetId="1">Sheet1!#REF!</definedName>
    <definedName name="a_608" localSheetId="1">Sheet1!#REF!</definedName>
    <definedName name="a_609" localSheetId="1">Sheet1!#REF!</definedName>
    <definedName name="a_61" localSheetId="1">Sheet1!#REF!</definedName>
    <definedName name="a_610" localSheetId="1">Sheet1!#REF!</definedName>
    <definedName name="a_611" localSheetId="1">Sheet1!#REF!</definedName>
    <definedName name="a_612" localSheetId="1">Sheet1!#REF!</definedName>
    <definedName name="a_613" localSheetId="1">Sheet1!#REF!</definedName>
    <definedName name="a_614" localSheetId="1">Sheet1!#REF!</definedName>
    <definedName name="a_615" localSheetId="1">Sheet1!#REF!</definedName>
    <definedName name="a_616" localSheetId="1">Sheet1!#REF!</definedName>
    <definedName name="a_617" localSheetId="1">Sheet1!#REF!</definedName>
    <definedName name="a_618" localSheetId="1">Sheet1!#REF!</definedName>
    <definedName name="a_619" localSheetId="1">Sheet1!#REF!</definedName>
    <definedName name="a_62" localSheetId="1">Sheet1!#REF!</definedName>
    <definedName name="a_620" localSheetId="1">Sheet1!#REF!</definedName>
    <definedName name="a_621" localSheetId="1">Sheet1!#REF!</definedName>
    <definedName name="a_622" localSheetId="1">Sheet1!#REF!</definedName>
    <definedName name="a_623" localSheetId="1">Sheet1!#REF!</definedName>
    <definedName name="a_624" localSheetId="1">Sheet1!#REF!</definedName>
    <definedName name="a_625" localSheetId="1">Sheet1!#REF!</definedName>
    <definedName name="a_626" localSheetId="1">Sheet1!#REF!</definedName>
    <definedName name="a_627" localSheetId="1">Sheet1!#REF!</definedName>
    <definedName name="a_628" localSheetId="1">Sheet1!#REF!</definedName>
    <definedName name="a_629" localSheetId="1">Sheet1!#REF!</definedName>
    <definedName name="a_63" localSheetId="1">Sheet1!#REF!</definedName>
    <definedName name="a_630" localSheetId="1">Sheet1!#REF!</definedName>
    <definedName name="a_631" localSheetId="1">Sheet1!#REF!</definedName>
    <definedName name="a_632" localSheetId="1">Sheet1!#REF!</definedName>
    <definedName name="a_633" localSheetId="1">Sheet1!#REF!</definedName>
    <definedName name="a_634" localSheetId="1">Sheet1!#REF!</definedName>
    <definedName name="a_635" localSheetId="1">Sheet1!#REF!</definedName>
    <definedName name="a_636" localSheetId="1">Sheet1!#REF!</definedName>
    <definedName name="a_637" localSheetId="1">Sheet1!#REF!</definedName>
    <definedName name="a_638" localSheetId="1">Sheet1!#REF!</definedName>
    <definedName name="a_639" localSheetId="1">Sheet1!#REF!</definedName>
    <definedName name="a_64" localSheetId="1">Sheet1!#REF!</definedName>
    <definedName name="a_640" localSheetId="1">Sheet1!#REF!</definedName>
    <definedName name="a_641" localSheetId="1">Sheet1!#REF!</definedName>
    <definedName name="a_642" localSheetId="1">Sheet1!#REF!</definedName>
    <definedName name="a_643" localSheetId="1">Sheet1!#REF!</definedName>
    <definedName name="a_644" localSheetId="1">Sheet1!#REF!</definedName>
    <definedName name="a_645" localSheetId="1">Sheet1!#REF!</definedName>
    <definedName name="a_646" localSheetId="1">Sheet1!#REF!</definedName>
    <definedName name="a_647" localSheetId="1">Sheet1!#REF!</definedName>
    <definedName name="a_648" localSheetId="1">Sheet1!#REF!</definedName>
    <definedName name="a_649" localSheetId="1">Sheet1!#REF!</definedName>
    <definedName name="a_65" localSheetId="1">Sheet1!#REF!</definedName>
    <definedName name="a_650" localSheetId="1">Sheet1!#REF!</definedName>
    <definedName name="a_651" localSheetId="1">Sheet1!#REF!</definedName>
    <definedName name="a_652" localSheetId="1">Sheet1!#REF!</definedName>
    <definedName name="a_653" localSheetId="1">Sheet1!#REF!</definedName>
    <definedName name="a_654" localSheetId="1">Sheet1!#REF!</definedName>
    <definedName name="a_655" localSheetId="1">Sheet1!#REF!</definedName>
    <definedName name="a_656" localSheetId="1">Sheet1!#REF!</definedName>
    <definedName name="a_657" localSheetId="1">Sheet1!#REF!</definedName>
    <definedName name="a_658" localSheetId="1">Sheet1!#REF!</definedName>
    <definedName name="a_659" localSheetId="1">Sheet1!#REF!</definedName>
    <definedName name="a_66" localSheetId="1">Sheet1!#REF!</definedName>
    <definedName name="a_660" localSheetId="1">Sheet1!#REF!</definedName>
    <definedName name="a_661" localSheetId="1">Sheet1!#REF!</definedName>
    <definedName name="a_662" localSheetId="1">Sheet1!#REF!</definedName>
    <definedName name="a_663" localSheetId="1">Sheet1!#REF!</definedName>
    <definedName name="a_664" localSheetId="1">Sheet1!#REF!</definedName>
    <definedName name="a_665" localSheetId="1">Sheet1!#REF!</definedName>
    <definedName name="a_666" localSheetId="1">Sheet1!#REF!</definedName>
    <definedName name="a_667" localSheetId="1">Sheet1!#REF!</definedName>
    <definedName name="a_668" localSheetId="1">Sheet1!#REF!</definedName>
    <definedName name="a_669" localSheetId="1">Sheet1!#REF!</definedName>
    <definedName name="a_67" localSheetId="1">Sheet1!#REF!</definedName>
    <definedName name="a_670" localSheetId="1">Sheet1!#REF!</definedName>
    <definedName name="a_671" localSheetId="1">Sheet1!#REF!</definedName>
    <definedName name="a_672" localSheetId="1">Sheet1!#REF!</definedName>
    <definedName name="a_673" localSheetId="1">Sheet1!#REF!</definedName>
    <definedName name="a_674" localSheetId="1">Sheet1!#REF!</definedName>
    <definedName name="a_675" localSheetId="1">Sheet1!#REF!</definedName>
    <definedName name="a_676" localSheetId="1">Sheet1!#REF!</definedName>
    <definedName name="a_677" localSheetId="1">Sheet1!#REF!</definedName>
    <definedName name="a_678" localSheetId="1">Sheet1!#REF!</definedName>
    <definedName name="a_679" localSheetId="1">Sheet1!#REF!</definedName>
    <definedName name="a_68" localSheetId="1">Sheet1!#REF!</definedName>
    <definedName name="a_680" localSheetId="1">Sheet1!#REF!</definedName>
    <definedName name="a_681" localSheetId="1">Sheet1!#REF!</definedName>
    <definedName name="a_682" localSheetId="1">Sheet1!#REF!</definedName>
    <definedName name="a_683" localSheetId="1">Sheet1!#REF!</definedName>
    <definedName name="a_684" localSheetId="1">Sheet1!#REF!</definedName>
    <definedName name="a_685" localSheetId="1">Sheet1!#REF!</definedName>
    <definedName name="a_686" localSheetId="1">Sheet1!#REF!</definedName>
    <definedName name="a_687" localSheetId="1">Sheet1!#REF!</definedName>
    <definedName name="a_688" localSheetId="1">Sheet1!#REF!</definedName>
    <definedName name="a_689" localSheetId="1">Sheet1!#REF!</definedName>
    <definedName name="a_69" localSheetId="1">Sheet1!#REF!</definedName>
    <definedName name="a_690" localSheetId="1">Sheet1!#REF!</definedName>
    <definedName name="a_691" localSheetId="1">Sheet1!#REF!</definedName>
    <definedName name="a_692" localSheetId="1">Sheet1!#REF!</definedName>
    <definedName name="a_693" localSheetId="1">Sheet1!#REF!</definedName>
    <definedName name="a_694" localSheetId="1">Sheet1!#REF!</definedName>
    <definedName name="a_695" localSheetId="1">Sheet1!#REF!</definedName>
    <definedName name="a_696" localSheetId="1">Sheet1!#REF!</definedName>
    <definedName name="a_697" localSheetId="1">Sheet1!#REF!</definedName>
    <definedName name="a_698" localSheetId="1">Sheet1!#REF!</definedName>
    <definedName name="a_699" localSheetId="1">Sheet1!#REF!</definedName>
    <definedName name="a_7" localSheetId="1">Sheet1!#REF!</definedName>
    <definedName name="a_7" localSheetId="2">Sheet2!#REF!</definedName>
    <definedName name="a_70" localSheetId="1">Sheet1!#REF!</definedName>
    <definedName name="a_700" localSheetId="1">Sheet1!#REF!</definedName>
    <definedName name="a_701" localSheetId="1">Sheet1!#REF!</definedName>
    <definedName name="a_702" localSheetId="1">Sheet1!#REF!</definedName>
    <definedName name="a_703" localSheetId="1">Sheet1!#REF!</definedName>
    <definedName name="a_704" localSheetId="1">Sheet1!#REF!</definedName>
    <definedName name="a_705" localSheetId="1">Sheet1!#REF!</definedName>
    <definedName name="a_706" localSheetId="1">Sheet1!#REF!</definedName>
    <definedName name="a_707" localSheetId="1">Sheet1!#REF!</definedName>
    <definedName name="a_708" localSheetId="1">Sheet1!#REF!</definedName>
    <definedName name="a_709" localSheetId="1">Sheet1!#REF!</definedName>
    <definedName name="a_71" localSheetId="1">Sheet1!#REF!</definedName>
    <definedName name="a_710" localSheetId="1">Sheet1!#REF!</definedName>
    <definedName name="a_711" localSheetId="1">Sheet1!#REF!</definedName>
    <definedName name="a_712" localSheetId="1">Sheet1!#REF!</definedName>
    <definedName name="a_713" localSheetId="1">Sheet1!#REF!</definedName>
    <definedName name="a_714" localSheetId="1">Sheet1!#REF!</definedName>
    <definedName name="a_715" localSheetId="1">Sheet1!#REF!</definedName>
    <definedName name="a_716" localSheetId="1">Sheet1!#REF!</definedName>
    <definedName name="a_717" localSheetId="1">Sheet1!#REF!</definedName>
    <definedName name="a_718" localSheetId="1">Sheet1!#REF!</definedName>
    <definedName name="a_719" localSheetId="1">Sheet1!#REF!</definedName>
    <definedName name="a_72" localSheetId="1">Sheet1!#REF!</definedName>
    <definedName name="a_720" localSheetId="1">Sheet1!#REF!</definedName>
    <definedName name="a_721" localSheetId="1">Sheet1!#REF!</definedName>
    <definedName name="a_722" localSheetId="1">Sheet1!#REF!</definedName>
    <definedName name="a_723" localSheetId="1">Sheet1!#REF!</definedName>
    <definedName name="a_724" localSheetId="1">Sheet1!#REF!</definedName>
    <definedName name="a_725" localSheetId="1">Sheet1!#REF!</definedName>
    <definedName name="a_726" localSheetId="1">Sheet1!#REF!</definedName>
    <definedName name="a_727" localSheetId="1">Sheet1!#REF!</definedName>
    <definedName name="a_728" localSheetId="1">Sheet1!#REF!</definedName>
    <definedName name="a_729" localSheetId="1">Sheet1!#REF!</definedName>
    <definedName name="a_73" localSheetId="1">Sheet1!#REF!</definedName>
    <definedName name="a_730" localSheetId="1">Sheet1!#REF!</definedName>
    <definedName name="a_731" localSheetId="1">Sheet1!#REF!</definedName>
    <definedName name="a_732" localSheetId="1">Sheet1!#REF!</definedName>
    <definedName name="a_733" localSheetId="1">Sheet1!#REF!</definedName>
    <definedName name="a_734" localSheetId="1">Sheet1!#REF!</definedName>
    <definedName name="a_735" localSheetId="1">Sheet1!#REF!</definedName>
    <definedName name="a_736" localSheetId="1">Sheet1!#REF!</definedName>
    <definedName name="a_737" localSheetId="1">Sheet1!#REF!</definedName>
    <definedName name="a_738" localSheetId="1">Sheet1!#REF!</definedName>
    <definedName name="a_739" localSheetId="1">Sheet1!#REF!</definedName>
    <definedName name="a_74" localSheetId="1">Sheet1!#REF!</definedName>
    <definedName name="a_740" localSheetId="1">Sheet1!#REF!</definedName>
    <definedName name="a_741" localSheetId="1">Sheet1!#REF!</definedName>
    <definedName name="a_742" localSheetId="1">Sheet1!#REF!</definedName>
    <definedName name="a_743" localSheetId="1">Sheet1!#REF!</definedName>
    <definedName name="a_744" localSheetId="1">Sheet1!#REF!</definedName>
    <definedName name="a_745" localSheetId="1">Sheet1!#REF!</definedName>
    <definedName name="a_746" localSheetId="1">Sheet1!#REF!</definedName>
    <definedName name="a_747" localSheetId="1">Sheet1!#REF!</definedName>
    <definedName name="a_748" localSheetId="1">Sheet1!#REF!</definedName>
    <definedName name="a_749" localSheetId="1">Sheet1!#REF!</definedName>
    <definedName name="a_75" localSheetId="1">Sheet1!#REF!</definedName>
    <definedName name="a_750" localSheetId="1">Sheet1!#REF!</definedName>
    <definedName name="a_751" localSheetId="1">Sheet1!#REF!</definedName>
    <definedName name="a_752" localSheetId="1">Sheet1!#REF!</definedName>
    <definedName name="a_753" localSheetId="1">Sheet1!#REF!</definedName>
    <definedName name="a_754" localSheetId="1">Sheet1!#REF!</definedName>
    <definedName name="a_755" localSheetId="1">Sheet1!#REF!</definedName>
    <definedName name="a_756" localSheetId="1">Sheet1!#REF!</definedName>
    <definedName name="a_757" localSheetId="1">Sheet1!#REF!</definedName>
    <definedName name="a_758" localSheetId="1">Sheet1!#REF!</definedName>
    <definedName name="a_759" localSheetId="1">Sheet1!#REF!</definedName>
    <definedName name="a_76" localSheetId="1">Sheet1!#REF!</definedName>
    <definedName name="a_760" localSheetId="1">Sheet1!#REF!</definedName>
    <definedName name="a_761" localSheetId="1">Sheet1!#REF!</definedName>
    <definedName name="a_762" localSheetId="1">Sheet1!#REF!</definedName>
    <definedName name="a_763" localSheetId="1">Sheet1!#REF!</definedName>
    <definedName name="a_764" localSheetId="1">Sheet1!#REF!</definedName>
    <definedName name="a_765" localSheetId="1">Sheet1!#REF!</definedName>
    <definedName name="a_766" localSheetId="1">Sheet1!#REF!</definedName>
    <definedName name="a_767" localSheetId="1">Sheet1!#REF!</definedName>
    <definedName name="a_768" localSheetId="1">Sheet1!#REF!</definedName>
    <definedName name="a_769" localSheetId="1">Sheet1!#REF!</definedName>
    <definedName name="a_77" localSheetId="1">Sheet1!#REF!</definedName>
    <definedName name="a_770" localSheetId="1">Sheet1!#REF!</definedName>
    <definedName name="a_771" localSheetId="1">Sheet1!#REF!</definedName>
    <definedName name="a_772" localSheetId="1">Sheet1!#REF!</definedName>
    <definedName name="a_773" localSheetId="1">Sheet1!#REF!</definedName>
    <definedName name="a_774" localSheetId="1">Sheet1!#REF!</definedName>
    <definedName name="a_775" localSheetId="1">Sheet1!#REF!</definedName>
    <definedName name="a_776" localSheetId="1">Sheet1!#REF!</definedName>
    <definedName name="a_777" localSheetId="1">Sheet1!#REF!</definedName>
    <definedName name="a_778" localSheetId="1">Sheet1!#REF!</definedName>
    <definedName name="a_779" localSheetId="1">Sheet1!#REF!</definedName>
    <definedName name="a_78" localSheetId="1">Sheet1!#REF!</definedName>
    <definedName name="a_780" localSheetId="1">Sheet1!#REF!</definedName>
    <definedName name="a_781" localSheetId="1">Sheet1!#REF!</definedName>
    <definedName name="a_782" localSheetId="1">Sheet1!#REF!</definedName>
    <definedName name="a_783" localSheetId="1">Sheet1!#REF!</definedName>
    <definedName name="a_784" localSheetId="1">Sheet1!#REF!</definedName>
    <definedName name="a_785" localSheetId="1">Sheet1!#REF!</definedName>
    <definedName name="a_786" localSheetId="1">Sheet1!#REF!</definedName>
    <definedName name="a_787" localSheetId="1">Sheet1!#REF!</definedName>
    <definedName name="a_788" localSheetId="1">Sheet1!#REF!</definedName>
    <definedName name="a_789" localSheetId="1">Sheet1!#REF!</definedName>
    <definedName name="a_79" localSheetId="1">Sheet1!#REF!</definedName>
    <definedName name="a_790" localSheetId="1">Sheet1!#REF!</definedName>
    <definedName name="a_791" localSheetId="1">Sheet1!#REF!</definedName>
    <definedName name="a_792" localSheetId="1">Sheet1!#REF!</definedName>
    <definedName name="a_793" localSheetId="1">Sheet1!#REF!</definedName>
    <definedName name="a_794" localSheetId="1">Sheet1!#REF!</definedName>
    <definedName name="a_795" localSheetId="1">Sheet1!#REF!</definedName>
    <definedName name="a_796" localSheetId="1">Sheet1!#REF!</definedName>
    <definedName name="a_797" localSheetId="1">Sheet1!#REF!</definedName>
    <definedName name="a_798" localSheetId="1">Sheet1!#REF!</definedName>
    <definedName name="a_799" localSheetId="1">Sheet1!#REF!</definedName>
    <definedName name="a_8" localSheetId="1">Sheet1!#REF!</definedName>
    <definedName name="a_8" localSheetId="2">Sheet2!#REF!</definedName>
    <definedName name="a_80" localSheetId="1">Sheet1!#REF!</definedName>
    <definedName name="a_800" localSheetId="1">Sheet1!#REF!</definedName>
    <definedName name="a_801" localSheetId="1">Sheet1!#REF!</definedName>
    <definedName name="a_802" localSheetId="1">Sheet1!#REF!</definedName>
    <definedName name="a_803" localSheetId="1">Sheet1!#REF!</definedName>
    <definedName name="a_804" localSheetId="1">Sheet1!#REF!</definedName>
    <definedName name="a_805" localSheetId="1">Sheet1!#REF!</definedName>
    <definedName name="a_806" localSheetId="1">Sheet1!#REF!</definedName>
    <definedName name="a_807" localSheetId="1">Sheet1!#REF!</definedName>
    <definedName name="a_808" localSheetId="1">Sheet1!#REF!</definedName>
    <definedName name="a_809" localSheetId="1">Sheet1!#REF!</definedName>
    <definedName name="a_81" localSheetId="1">Sheet1!#REF!</definedName>
    <definedName name="a_810" localSheetId="1">Sheet1!#REF!</definedName>
    <definedName name="a_811" localSheetId="1">Sheet1!#REF!</definedName>
    <definedName name="a_812" localSheetId="1">Sheet1!#REF!</definedName>
    <definedName name="a_813" localSheetId="1">Sheet1!#REF!</definedName>
    <definedName name="a_814" localSheetId="1">Sheet1!#REF!</definedName>
    <definedName name="a_815" localSheetId="1">Sheet1!#REF!</definedName>
    <definedName name="a_816" localSheetId="1">Sheet1!#REF!</definedName>
    <definedName name="a_817" localSheetId="1">Sheet1!#REF!</definedName>
    <definedName name="a_818" localSheetId="1">Sheet1!#REF!</definedName>
    <definedName name="a_819" localSheetId="1">Sheet1!#REF!</definedName>
    <definedName name="a_82" localSheetId="1">Sheet1!#REF!</definedName>
    <definedName name="a_820" localSheetId="1">Sheet1!#REF!</definedName>
    <definedName name="a_821" localSheetId="1">Sheet1!#REF!</definedName>
    <definedName name="a_822" localSheetId="1">Sheet1!#REF!</definedName>
    <definedName name="a_823" localSheetId="1">Sheet1!#REF!</definedName>
    <definedName name="a_824" localSheetId="1">Sheet1!#REF!</definedName>
    <definedName name="a_825" localSheetId="1">Sheet1!#REF!</definedName>
    <definedName name="a_826" localSheetId="1">Sheet1!#REF!</definedName>
    <definedName name="a_827" localSheetId="1">Sheet1!#REF!</definedName>
    <definedName name="a_828" localSheetId="1">Sheet1!#REF!</definedName>
    <definedName name="a_829" localSheetId="1">Sheet1!#REF!</definedName>
    <definedName name="a_83" localSheetId="1">Sheet1!#REF!</definedName>
    <definedName name="a_830" localSheetId="1">Sheet1!#REF!</definedName>
    <definedName name="a_831" localSheetId="1">Sheet1!#REF!</definedName>
    <definedName name="a_832" localSheetId="1">Sheet1!#REF!</definedName>
    <definedName name="a_833" localSheetId="1">Sheet1!#REF!</definedName>
    <definedName name="a_834" localSheetId="1">Sheet1!#REF!</definedName>
    <definedName name="a_835" localSheetId="1">Sheet1!#REF!</definedName>
    <definedName name="a_836" localSheetId="1">Sheet1!#REF!</definedName>
    <definedName name="a_837" localSheetId="1">Sheet1!#REF!</definedName>
    <definedName name="a_838" localSheetId="1">Sheet1!#REF!</definedName>
    <definedName name="a_839" localSheetId="1">Sheet1!#REF!</definedName>
    <definedName name="a_84" localSheetId="1">Sheet1!#REF!</definedName>
    <definedName name="a_840" localSheetId="1">Sheet1!#REF!</definedName>
    <definedName name="a_841" localSheetId="1">Sheet1!#REF!</definedName>
    <definedName name="a_842" localSheetId="1">Sheet1!#REF!</definedName>
    <definedName name="a_843" localSheetId="1">Sheet1!#REF!</definedName>
    <definedName name="a_844" localSheetId="1">Sheet1!#REF!</definedName>
    <definedName name="a_845" localSheetId="1">Sheet1!#REF!</definedName>
    <definedName name="a_846" localSheetId="1">Sheet1!#REF!</definedName>
    <definedName name="a_847" localSheetId="1">Sheet1!#REF!</definedName>
    <definedName name="a_848" localSheetId="1">Sheet1!#REF!</definedName>
    <definedName name="a_849" localSheetId="1">Sheet1!#REF!</definedName>
    <definedName name="a_85" localSheetId="1">Sheet1!#REF!</definedName>
    <definedName name="a_850" localSheetId="1">Sheet1!#REF!</definedName>
    <definedName name="a_851" localSheetId="1">Sheet1!#REF!</definedName>
    <definedName name="a_852" localSheetId="1">Sheet1!#REF!</definedName>
    <definedName name="a_853" localSheetId="1">Sheet1!#REF!</definedName>
    <definedName name="a_854" localSheetId="1">Sheet1!#REF!</definedName>
    <definedName name="a_855" localSheetId="1">Sheet1!#REF!</definedName>
    <definedName name="a_856" localSheetId="1">Sheet1!#REF!</definedName>
    <definedName name="a_857" localSheetId="1">Sheet1!#REF!</definedName>
    <definedName name="a_858" localSheetId="1">Sheet1!#REF!</definedName>
    <definedName name="a_859" localSheetId="1">Sheet1!#REF!</definedName>
    <definedName name="a_86" localSheetId="1">Sheet1!#REF!</definedName>
    <definedName name="a_860" localSheetId="1">Sheet1!#REF!</definedName>
    <definedName name="a_861" localSheetId="1">Sheet1!#REF!</definedName>
    <definedName name="a_862" localSheetId="1">Sheet1!#REF!</definedName>
    <definedName name="a_863" localSheetId="1">Sheet1!#REF!</definedName>
    <definedName name="a_864" localSheetId="1">Sheet1!#REF!</definedName>
    <definedName name="a_865" localSheetId="1">Sheet1!#REF!</definedName>
    <definedName name="a_866" localSheetId="1">Sheet1!#REF!</definedName>
    <definedName name="a_867" localSheetId="1">Sheet1!#REF!</definedName>
    <definedName name="a_868" localSheetId="1">Sheet1!#REF!</definedName>
    <definedName name="a_869" localSheetId="1">Sheet1!#REF!</definedName>
    <definedName name="a_87" localSheetId="1">Sheet1!#REF!</definedName>
    <definedName name="a_870" localSheetId="1">Sheet1!#REF!</definedName>
    <definedName name="a_871" localSheetId="1">Sheet1!#REF!</definedName>
    <definedName name="a_872" localSheetId="1">Sheet1!#REF!</definedName>
    <definedName name="a_873" localSheetId="1">Sheet1!#REF!</definedName>
    <definedName name="a_874" localSheetId="1">Sheet1!#REF!</definedName>
    <definedName name="a_875" localSheetId="1">Sheet1!#REF!</definedName>
    <definedName name="a_876" localSheetId="1">Sheet1!#REF!</definedName>
    <definedName name="a_877" localSheetId="1">Sheet1!#REF!</definedName>
    <definedName name="a_878" localSheetId="1">Sheet1!#REF!</definedName>
    <definedName name="a_879" localSheetId="1">Sheet1!#REF!</definedName>
    <definedName name="a_88" localSheetId="1">Sheet1!#REF!</definedName>
    <definedName name="a_880" localSheetId="1">Sheet1!#REF!</definedName>
    <definedName name="a_881" localSheetId="1">Sheet1!#REF!</definedName>
    <definedName name="a_882" localSheetId="1">Sheet1!#REF!</definedName>
    <definedName name="a_883" localSheetId="1">Sheet1!#REF!</definedName>
    <definedName name="a_884" localSheetId="1">Sheet1!#REF!</definedName>
    <definedName name="a_885" localSheetId="1">Sheet1!#REF!</definedName>
    <definedName name="a_886" localSheetId="1">Sheet1!#REF!</definedName>
    <definedName name="a_887" localSheetId="1">Sheet1!#REF!</definedName>
    <definedName name="a_888" localSheetId="1">Sheet1!#REF!</definedName>
    <definedName name="a_889" localSheetId="1">Sheet1!#REF!</definedName>
    <definedName name="a_89" localSheetId="1">Sheet1!#REF!</definedName>
    <definedName name="a_890" localSheetId="1">Sheet1!#REF!</definedName>
    <definedName name="a_891" localSheetId="1">Sheet1!#REF!</definedName>
    <definedName name="a_892" localSheetId="1">Sheet1!#REF!</definedName>
    <definedName name="a_893" localSheetId="1">Sheet1!#REF!</definedName>
    <definedName name="a_894" localSheetId="1">Sheet1!#REF!</definedName>
    <definedName name="a_895" localSheetId="1">Sheet1!#REF!</definedName>
    <definedName name="a_896" localSheetId="1">Sheet1!#REF!</definedName>
    <definedName name="a_897" localSheetId="1">Sheet1!#REF!</definedName>
    <definedName name="a_898" localSheetId="1">Sheet1!#REF!</definedName>
    <definedName name="a_899" localSheetId="1">Sheet1!#REF!</definedName>
    <definedName name="a_9" localSheetId="1">Sheet1!#REF!</definedName>
    <definedName name="a_90" localSheetId="1">Sheet1!#REF!</definedName>
    <definedName name="a_900" localSheetId="1">Sheet1!#REF!</definedName>
    <definedName name="a_901" localSheetId="1">Sheet1!#REF!</definedName>
    <definedName name="a_902" localSheetId="1">Sheet1!#REF!</definedName>
    <definedName name="a_903" localSheetId="1">Sheet1!#REF!</definedName>
    <definedName name="a_904" localSheetId="1">Sheet1!#REF!</definedName>
    <definedName name="a_905" localSheetId="1">Sheet1!#REF!</definedName>
    <definedName name="a_906" localSheetId="1">Sheet1!#REF!</definedName>
    <definedName name="a_907" localSheetId="1">Sheet1!#REF!</definedName>
    <definedName name="a_908" localSheetId="1">Sheet1!#REF!</definedName>
    <definedName name="a_909" localSheetId="1">Sheet1!#REF!</definedName>
    <definedName name="a_91" localSheetId="1">Sheet1!#REF!</definedName>
    <definedName name="a_910" localSheetId="1">Sheet1!#REF!</definedName>
    <definedName name="a_911" localSheetId="1">Sheet1!#REF!</definedName>
    <definedName name="a_912" localSheetId="1">Sheet1!#REF!</definedName>
    <definedName name="a_913" localSheetId="1">Sheet1!#REF!</definedName>
    <definedName name="a_914" localSheetId="1">Sheet1!#REF!</definedName>
    <definedName name="a_915" localSheetId="1">Sheet1!#REF!</definedName>
    <definedName name="a_916" localSheetId="1">Sheet1!#REF!</definedName>
    <definedName name="a_917" localSheetId="1">Sheet1!#REF!</definedName>
    <definedName name="a_918" localSheetId="1">Sheet1!#REF!</definedName>
    <definedName name="a_919" localSheetId="1">Sheet1!#REF!</definedName>
    <definedName name="a_92" localSheetId="1">Sheet1!#REF!</definedName>
    <definedName name="a_920" localSheetId="1">Sheet1!#REF!</definedName>
    <definedName name="a_921" localSheetId="1">Sheet1!#REF!</definedName>
    <definedName name="a_922" localSheetId="1">Sheet1!#REF!</definedName>
    <definedName name="a_923" localSheetId="1">Sheet1!#REF!</definedName>
    <definedName name="a_924" localSheetId="1">Sheet1!#REF!</definedName>
    <definedName name="a_925" localSheetId="1">Sheet1!#REF!</definedName>
    <definedName name="a_926" localSheetId="1">Sheet1!#REF!</definedName>
    <definedName name="a_927" localSheetId="1">Sheet1!#REF!</definedName>
    <definedName name="a_928" localSheetId="1">Sheet1!#REF!</definedName>
    <definedName name="a_929" localSheetId="1">Sheet1!#REF!</definedName>
    <definedName name="a_929" localSheetId="2">Sheet2!#REF!</definedName>
    <definedName name="a_929" localSheetId="3">Sheet3!#REF!</definedName>
    <definedName name="a_93" localSheetId="1">Sheet1!#REF!</definedName>
    <definedName name="a_930" localSheetId="1">Sheet1!#REF!</definedName>
    <definedName name="a_930" localSheetId="2">Sheet2!#REF!</definedName>
    <definedName name="a_930" localSheetId="3">Sheet3!#REF!</definedName>
    <definedName name="a_931" localSheetId="1">Sheet1!#REF!</definedName>
    <definedName name="a_931" localSheetId="2">Sheet2!#REF!</definedName>
    <definedName name="a_931" localSheetId="3">Sheet3!#REF!</definedName>
    <definedName name="a_932" localSheetId="1">Sheet1!#REF!</definedName>
    <definedName name="a_932" localSheetId="2">Sheet2!#REF!</definedName>
    <definedName name="a_932" localSheetId="3">Sheet3!#REF!</definedName>
    <definedName name="a_933" localSheetId="1">Sheet1!#REF!</definedName>
    <definedName name="a_933" localSheetId="2">Sheet2!#REF!</definedName>
    <definedName name="a_933" localSheetId="3">Sheet3!#REF!</definedName>
    <definedName name="a_934" localSheetId="1">Sheet1!#REF!</definedName>
    <definedName name="a_934" localSheetId="2">Sheet2!#REF!</definedName>
    <definedName name="a_934" localSheetId="3">Sheet3!#REF!</definedName>
    <definedName name="a_935" localSheetId="1">Sheet1!#REF!</definedName>
    <definedName name="a_935" localSheetId="2">Sheet2!#REF!</definedName>
    <definedName name="a_935" localSheetId="3">Sheet3!#REF!</definedName>
    <definedName name="a_936" localSheetId="1">Sheet1!#REF!</definedName>
    <definedName name="a_936" localSheetId="2">Sheet2!#REF!</definedName>
    <definedName name="a_936" localSheetId="3">Sheet3!#REF!</definedName>
    <definedName name="a_937" localSheetId="1">Sheet1!#REF!</definedName>
    <definedName name="a_937" localSheetId="2">Sheet2!#REF!</definedName>
    <definedName name="a_937" localSheetId="3">Sheet3!#REF!</definedName>
    <definedName name="a_938" localSheetId="1">Sheet1!#REF!</definedName>
    <definedName name="a_938" localSheetId="2">Sheet2!#REF!</definedName>
    <definedName name="a_938" localSheetId="3">Sheet3!#REF!</definedName>
    <definedName name="a_939" localSheetId="1">Sheet1!#REF!</definedName>
    <definedName name="a_939" localSheetId="2">Sheet2!#REF!</definedName>
    <definedName name="a_939" localSheetId="3">Sheet3!#REF!</definedName>
    <definedName name="a_94" localSheetId="1">Sheet1!#REF!</definedName>
    <definedName name="a_940" localSheetId="1">Sheet1!#REF!</definedName>
    <definedName name="a_940" localSheetId="2">Sheet2!#REF!</definedName>
    <definedName name="a_940" localSheetId="3">Sheet3!#REF!</definedName>
    <definedName name="a_941" localSheetId="1">Sheet1!#REF!</definedName>
    <definedName name="a_941" localSheetId="2">Sheet2!#REF!</definedName>
    <definedName name="a_941" localSheetId="3">Sheet3!#REF!</definedName>
    <definedName name="a_942" localSheetId="1">Sheet1!#REF!</definedName>
    <definedName name="a_942" localSheetId="2">Sheet2!#REF!</definedName>
    <definedName name="a_942" localSheetId="3">Sheet3!#REF!</definedName>
    <definedName name="a_95" localSheetId="1">Sheet1!#REF!</definedName>
    <definedName name="a_96" localSheetId="1">Sheet1!#REF!</definedName>
    <definedName name="a_97" localSheetId="1">Sheet1!#REF!</definedName>
    <definedName name="a_98" localSheetId="1">Sheet1!#REF!</definedName>
    <definedName name="a_99" localSheetId="1">Sheet1!#REF!</definedName>
  </definedNames>
  <calcPr calcId="145621"/>
</workbook>
</file>

<file path=xl/calcChain.xml><?xml version="1.0" encoding="utf-8"?>
<calcChain xmlns="http://schemas.openxmlformats.org/spreadsheetml/2006/main">
  <c r="L205" i="8" l="1"/>
  <c r="M184" i="8" s="1"/>
  <c r="N205" i="8" s="1"/>
  <c r="L204" i="8"/>
  <c r="L203" i="8"/>
  <c r="M183" i="8" s="1"/>
  <c r="N203" i="8" s="1"/>
  <c r="L202" i="8"/>
  <c r="L201" i="8"/>
  <c r="M204" i="8" s="1"/>
  <c r="L200" i="8"/>
  <c r="L199" i="8"/>
  <c r="M182" i="8" s="1"/>
  <c r="L198" i="8"/>
  <c r="M202" i="8" s="1"/>
  <c r="L197" i="8"/>
  <c r="L196" i="8"/>
  <c r="L195" i="8"/>
  <c r="M197" i="8" s="1"/>
  <c r="L194" i="8"/>
  <c r="L193" i="8"/>
  <c r="L192" i="8"/>
  <c r="M181" i="8" s="1"/>
  <c r="L191" i="8"/>
  <c r="L190" i="8"/>
  <c r="L189" i="8"/>
  <c r="M194" i="8" s="1"/>
  <c r="L188" i="8"/>
  <c r="M193" i="8" s="1"/>
  <c r="L187" i="8"/>
  <c r="L186" i="8"/>
  <c r="L185" i="8"/>
  <c r="O184" i="8"/>
  <c r="L184" i="8"/>
  <c r="M205" i="8" s="1"/>
  <c r="N184" i="8" s="1"/>
  <c r="O183" i="8"/>
  <c r="L183" i="8"/>
  <c r="M203" i="8" s="1"/>
  <c r="N183" i="8" s="1"/>
  <c r="L182" i="8"/>
  <c r="M199" i="8" s="1"/>
  <c r="N182" i="8" s="1"/>
  <c r="L181" i="8"/>
  <c r="M192" i="8" s="1"/>
  <c r="N181" i="8" s="1"/>
  <c r="L180" i="8"/>
  <c r="M189" i="8" s="1"/>
  <c r="L176" i="8"/>
  <c r="L175" i="8"/>
  <c r="M176" i="8" s="1"/>
  <c r="L174" i="8"/>
  <c r="M175" i="8" s="1"/>
  <c r="M173" i="8"/>
  <c r="N175" i="8" s="1"/>
  <c r="L173" i="8"/>
  <c r="L172" i="8"/>
  <c r="L171" i="8"/>
  <c r="L170" i="8"/>
  <c r="M174" i="8" s="1"/>
  <c r="L166" i="8"/>
  <c r="L165" i="8"/>
  <c r="L164" i="8"/>
  <c r="L163" i="8"/>
  <c r="L162" i="8"/>
  <c r="L161" i="8"/>
  <c r="M163" i="8" s="1"/>
  <c r="L160" i="8"/>
  <c r="L159" i="8"/>
  <c r="M160" i="8" s="1"/>
  <c r="L158" i="8"/>
  <c r="M165" i="8" s="1"/>
  <c r="L157" i="8"/>
  <c r="M162" i="8" s="1"/>
  <c r="L156" i="8"/>
  <c r="L155" i="8"/>
  <c r="M161" i="8" s="1"/>
  <c r="N163" i="8" s="1"/>
  <c r="L154" i="8"/>
  <c r="M157" i="8" s="1"/>
  <c r="N162" i="8" s="1"/>
  <c r="L153" i="8"/>
  <c r="M154" i="8" s="1"/>
  <c r="N157" i="8" s="1"/>
  <c r="O162" i="8" s="1"/>
  <c r="L152" i="8"/>
  <c r="M151" i="8" s="1"/>
  <c r="L151" i="8"/>
  <c r="M153" i="8" s="1"/>
  <c r="L150" i="8"/>
  <c r="M155" i="8" s="1"/>
  <c r="L149" i="8"/>
  <c r="M152" i="8" s="1"/>
  <c r="L148" i="8"/>
  <c r="M159" i="8" s="1"/>
  <c r="N148" i="8" s="1"/>
  <c r="L147" i="8"/>
  <c r="M158" i="8" s="1"/>
  <c r="N165" i="8" s="1"/>
  <c r="L143" i="8"/>
  <c r="L142" i="8"/>
  <c r="L141" i="8"/>
  <c r="L140" i="8"/>
  <c r="L139" i="8"/>
  <c r="L138" i="8"/>
  <c r="M140" i="8" s="1"/>
  <c r="L137" i="8"/>
  <c r="L136" i="8"/>
  <c r="L135" i="8"/>
  <c r="L134" i="8"/>
  <c r="M139" i="8" s="1"/>
  <c r="L133" i="8"/>
  <c r="L132" i="8"/>
  <c r="L131" i="8"/>
  <c r="M134" i="8" s="1"/>
  <c r="N139" i="8" s="1"/>
  <c r="L130" i="8"/>
  <c r="M131" i="8" s="1"/>
  <c r="N134" i="8" s="1"/>
  <c r="L129" i="8"/>
  <c r="L128" i="8"/>
  <c r="M130" i="8" s="1"/>
  <c r="L127" i="8"/>
  <c r="L126" i="8"/>
  <c r="M129" i="8" s="1"/>
  <c r="L125" i="8"/>
  <c r="M136" i="8" s="1"/>
  <c r="L124" i="8"/>
  <c r="M135" i="8" s="1"/>
  <c r="L120" i="8"/>
  <c r="L119" i="8"/>
  <c r="L118" i="8"/>
  <c r="L117" i="8"/>
  <c r="L116" i="8"/>
  <c r="L115" i="8"/>
  <c r="M117" i="8" s="1"/>
  <c r="L114" i="8"/>
  <c r="L113" i="8"/>
  <c r="L112" i="8"/>
  <c r="L111" i="8"/>
  <c r="M116" i="8" s="1"/>
  <c r="L110" i="8"/>
  <c r="L109" i="8"/>
  <c r="L108" i="8"/>
  <c r="M111" i="8" s="1"/>
  <c r="N116" i="8" s="1"/>
  <c r="L107" i="8"/>
  <c r="M108" i="8" s="1"/>
  <c r="N111" i="8" s="1"/>
  <c r="L106" i="8"/>
  <c r="L105" i="8"/>
  <c r="M107" i="8" s="1"/>
  <c r="L104" i="8"/>
  <c r="L103" i="8"/>
  <c r="M106" i="8" s="1"/>
  <c r="L102" i="8"/>
  <c r="M113" i="8" s="1"/>
  <c r="L101" i="8"/>
  <c r="M112" i="8" s="1"/>
  <c r="L97" i="8"/>
  <c r="L96" i="8"/>
  <c r="L95" i="8"/>
  <c r="L94" i="8"/>
  <c r="L93" i="8"/>
  <c r="L92" i="8"/>
  <c r="M94" i="8" s="1"/>
  <c r="L91" i="8"/>
  <c r="L90" i="8"/>
  <c r="L89" i="8"/>
  <c r="L88" i="8"/>
  <c r="M93" i="8" s="1"/>
  <c r="L87" i="8"/>
  <c r="L86" i="8"/>
  <c r="L85" i="8"/>
  <c r="M88" i="8" s="1"/>
  <c r="N93" i="8" s="1"/>
  <c r="L84" i="8"/>
  <c r="M85" i="8" s="1"/>
  <c r="N88" i="8" s="1"/>
  <c r="L83" i="8"/>
  <c r="L82" i="8"/>
  <c r="M84" i="8" s="1"/>
  <c r="L81" i="8"/>
  <c r="L80" i="8"/>
  <c r="M83" i="8" s="1"/>
  <c r="L79" i="8"/>
  <c r="M90" i="8" s="1"/>
  <c r="L78" i="8"/>
  <c r="M89" i="8" s="1"/>
  <c r="N180" i="8" l="1"/>
  <c r="N199" i="8"/>
  <c r="O182" i="8" s="1"/>
  <c r="M191" i="8"/>
  <c r="N194" i="8" s="1"/>
  <c r="M187" i="8"/>
  <c r="M185" i="8"/>
  <c r="M195" i="8"/>
  <c r="M188" i="8"/>
  <c r="M201" i="8"/>
  <c r="N204" i="8" s="1"/>
  <c r="O205" i="8" s="1"/>
  <c r="P184" i="8" s="1"/>
  <c r="M200" i="8"/>
  <c r="M198" i="8"/>
  <c r="N202" i="8" s="1"/>
  <c r="M180" i="8"/>
  <c r="M196" i="8"/>
  <c r="M190" i="8"/>
  <c r="M186" i="8"/>
  <c r="N201" i="8"/>
  <c r="O204" i="8" s="1"/>
  <c r="N200" i="8"/>
  <c r="N198" i="8"/>
  <c r="O202" i="8" s="1"/>
  <c r="P205" i="8" s="1"/>
  <c r="Q184" i="8" s="1"/>
  <c r="N170" i="8"/>
  <c r="N171" i="8"/>
  <c r="N172" i="8"/>
  <c r="N176" i="8"/>
  <c r="N173" i="8"/>
  <c r="O176" i="8"/>
  <c r="O173" i="8"/>
  <c r="M171" i="8"/>
  <c r="M172" i="8"/>
  <c r="M170" i="8"/>
  <c r="N151" i="8"/>
  <c r="N149" i="8"/>
  <c r="N161" i="8"/>
  <c r="O163" i="8" s="1"/>
  <c r="N154" i="8"/>
  <c r="O157" i="8" s="1"/>
  <c r="P162" i="8" s="1"/>
  <c r="N147" i="8"/>
  <c r="M156" i="8"/>
  <c r="N153" i="8" s="1"/>
  <c r="N166" i="8"/>
  <c r="N164" i="8"/>
  <c r="M166" i="8"/>
  <c r="M164" i="8"/>
  <c r="N160" i="8" s="1"/>
  <c r="M147" i="8"/>
  <c r="M148" i="8"/>
  <c r="M149" i="8"/>
  <c r="N152" i="8" s="1"/>
  <c r="M150" i="8"/>
  <c r="M133" i="8"/>
  <c r="M132" i="8"/>
  <c r="M128" i="8"/>
  <c r="N130" i="8" s="1"/>
  <c r="M126" i="8"/>
  <c r="N129" i="8" s="1"/>
  <c r="N142" i="8"/>
  <c r="N124" i="8"/>
  <c r="N128" i="8"/>
  <c r="N126" i="8"/>
  <c r="M143" i="8"/>
  <c r="M141" i="8"/>
  <c r="N137" i="8"/>
  <c r="N125" i="8"/>
  <c r="O136" i="8" s="1"/>
  <c r="M137" i="8"/>
  <c r="M125" i="8"/>
  <c r="N136" i="8" s="1"/>
  <c r="N131" i="8"/>
  <c r="O134" i="8" s="1"/>
  <c r="M138" i="8"/>
  <c r="N140" i="8" s="1"/>
  <c r="O139" i="8" s="1"/>
  <c r="M127" i="8"/>
  <c r="M142" i="8"/>
  <c r="M124" i="8"/>
  <c r="M110" i="8"/>
  <c r="M109" i="8"/>
  <c r="M105" i="8"/>
  <c r="N107" i="8" s="1"/>
  <c r="M103" i="8"/>
  <c r="M115" i="8"/>
  <c r="N117" i="8" s="1"/>
  <c r="M104" i="8"/>
  <c r="M119" i="8"/>
  <c r="M101" i="8"/>
  <c r="N119" i="8"/>
  <c r="N101" i="8"/>
  <c r="N105" i="8"/>
  <c r="N103" i="8"/>
  <c r="O116" i="8"/>
  <c r="N102" i="8"/>
  <c r="N108" i="8"/>
  <c r="O111" i="8" s="1"/>
  <c r="M114" i="8"/>
  <c r="M102" i="8"/>
  <c r="M120" i="8"/>
  <c r="M118" i="8"/>
  <c r="N114" i="8" s="1"/>
  <c r="M92" i="8"/>
  <c r="N94" i="8" s="1"/>
  <c r="M81" i="8"/>
  <c r="M96" i="8"/>
  <c r="M78" i="8"/>
  <c r="N96" i="8"/>
  <c r="N78" i="8"/>
  <c r="M87" i="8"/>
  <c r="M86" i="8"/>
  <c r="M91" i="8"/>
  <c r="M79" i="8"/>
  <c r="N82" i="8"/>
  <c r="N80" i="8"/>
  <c r="M82" i="8"/>
  <c r="M80" i="8"/>
  <c r="N83" i="8" s="1"/>
  <c r="N91" i="8"/>
  <c r="N79" i="8"/>
  <c r="O93" i="8"/>
  <c r="M97" i="8"/>
  <c r="M95" i="8"/>
  <c r="L74" i="8"/>
  <c r="L73" i="8"/>
  <c r="L72" i="8"/>
  <c r="M74" i="8" s="1"/>
  <c r="M71" i="8"/>
  <c r="L71" i="8"/>
  <c r="M72" i="8" s="1"/>
  <c r="M70" i="8"/>
  <c r="L70" i="8"/>
  <c r="M73" i="8" s="1"/>
  <c r="M69" i="8"/>
  <c r="M76" i="8" s="1"/>
  <c r="L69" i="8"/>
  <c r="L65" i="8"/>
  <c r="L64" i="8"/>
  <c r="L63" i="8"/>
  <c r="L62" i="8"/>
  <c r="M63" i="8" s="1"/>
  <c r="L61" i="8"/>
  <c r="M62" i="8" s="1"/>
  <c r="L60" i="8"/>
  <c r="M61" i="8" s="1"/>
  <c r="L59" i="8"/>
  <c r="M60" i="8" s="1"/>
  <c r="N61" i="8" s="1"/>
  <c r="L58" i="8"/>
  <c r="M59" i="8" s="1"/>
  <c r="L57" i="8"/>
  <c r="L56" i="8"/>
  <c r="M58" i="8" s="1"/>
  <c r="L55" i="8"/>
  <c r="M56" i="8" s="1"/>
  <c r="L51" i="8"/>
  <c r="L50" i="8"/>
  <c r="L49" i="8"/>
  <c r="L48" i="8"/>
  <c r="M50" i="8" s="1"/>
  <c r="L47" i="8"/>
  <c r="M48" i="8" s="1"/>
  <c r="L46" i="8"/>
  <c r="M47" i="8" s="1"/>
  <c r="L45" i="8"/>
  <c r="M46" i="8" s="1"/>
  <c r="N47" i="8" s="1"/>
  <c r="L44" i="8"/>
  <c r="M45" i="8" s="1"/>
  <c r="L43" i="8"/>
  <c r="L42" i="8"/>
  <c r="M44" i="8" s="1"/>
  <c r="M41" i="8"/>
  <c r="L41" i="8"/>
  <c r="M42" i="8" s="1"/>
  <c r="L37" i="8"/>
  <c r="L36" i="8"/>
  <c r="M35" i="8" s="1"/>
  <c r="L35" i="8"/>
  <c r="M36" i="8" s="1"/>
  <c r="M34" i="8"/>
  <c r="L34" i="8"/>
  <c r="M33" i="8"/>
  <c r="L33" i="8"/>
  <c r="M37" i="8" s="1"/>
  <c r="L29" i="8"/>
  <c r="L28" i="8"/>
  <c r="M27" i="8"/>
  <c r="L27" i="8"/>
  <c r="M28" i="8" s="1"/>
  <c r="N27" i="8" s="1"/>
  <c r="M26" i="8"/>
  <c r="L26" i="8"/>
  <c r="M25" i="8"/>
  <c r="L25" i="8"/>
  <c r="M29" i="8" s="1"/>
  <c r="N196" i="8" l="1"/>
  <c r="N190" i="8"/>
  <c r="N186" i="8"/>
  <c r="O203" i="8"/>
  <c r="P183" i="8" s="1"/>
  <c r="N195" i="8"/>
  <c r="O197" i="8" s="1"/>
  <c r="N188" i="8"/>
  <c r="N189" i="8"/>
  <c r="M207" i="8"/>
  <c r="N193" i="8"/>
  <c r="N192" i="8"/>
  <c r="O181" i="8" s="1"/>
  <c r="O189" i="8"/>
  <c r="P199" i="8" s="1"/>
  <c r="Q182" i="8" s="1"/>
  <c r="N191" i="8"/>
  <c r="N187" i="8"/>
  <c r="N185" i="8"/>
  <c r="N197" i="8"/>
  <c r="O174" i="8"/>
  <c r="P175" i="8" s="1"/>
  <c r="N174" i="8"/>
  <c r="M178" i="8"/>
  <c r="O166" i="8"/>
  <c r="O164" i="8"/>
  <c r="O159" i="8"/>
  <c r="O151" i="8"/>
  <c r="O149" i="8"/>
  <c r="N159" i="8"/>
  <c r="O158" i="8"/>
  <c r="N150" i="8"/>
  <c r="N168" i="8" s="1"/>
  <c r="N158" i="8"/>
  <c r="M168" i="8"/>
  <c r="N156" i="8"/>
  <c r="N155" i="8"/>
  <c r="O152" i="8"/>
  <c r="O153" i="8"/>
  <c r="N135" i="8"/>
  <c r="M145" i="8"/>
  <c r="P125" i="8"/>
  <c r="O129" i="8"/>
  <c r="O128" i="8"/>
  <c r="O126" i="8"/>
  <c r="O125" i="8"/>
  <c r="O143" i="8"/>
  <c r="O141" i="8"/>
  <c r="P137" i="8" s="1"/>
  <c r="O131" i="8"/>
  <c r="P134" i="8" s="1"/>
  <c r="N133" i="8"/>
  <c r="O130" i="8" s="1"/>
  <c r="N132" i="8"/>
  <c r="N143" i="8"/>
  <c r="N141" i="8"/>
  <c r="O137" i="8" s="1"/>
  <c r="O135" i="8"/>
  <c r="N138" i="8"/>
  <c r="O140" i="8" s="1"/>
  <c r="P139" i="8" s="1"/>
  <c r="N127" i="8"/>
  <c r="N145" i="8" s="1"/>
  <c r="O120" i="8"/>
  <c r="O118" i="8"/>
  <c r="N120" i="8"/>
  <c r="N118" i="8"/>
  <c r="O106" i="8"/>
  <c r="N112" i="8"/>
  <c r="M122" i="8"/>
  <c r="N106" i="8"/>
  <c r="O112" i="8" s="1"/>
  <c r="O113" i="8"/>
  <c r="O108" i="8"/>
  <c r="P111" i="8" s="1"/>
  <c r="N113" i="8"/>
  <c r="N110" i="8"/>
  <c r="N122" i="8" s="1"/>
  <c r="N109" i="8"/>
  <c r="N115" i="8"/>
  <c r="O117" i="8" s="1"/>
  <c r="P116" i="8" s="1"/>
  <c r="N104" i="8"/>
  <c r="O97" i="8"/>
  <c r="O95" i="8"/>
  <c r="O80" i="8"/>
  <c r="N90" i="8"/>
  <c r="O89" i="8"/>
  <c r="N87" i="8"/>
  <c r="N86" i="8"/>
  <c r="N84" i="8"/>
  <c r="O85" i="8" s="1"/>
  <c r="P88" i="8" s="1"/>
  <c r="N97" i="8"/>
  <c r="N95" i="8"/>
  <c r="O90" i="8"/>
  <c r="N92" i="8"/>
  <c r="O94" i="8" s="1"/>
  <c r="N81" i="8"/>
  <c r="N89" i="8"/>
  <c r="O83" i="8" s="1"/>
  <c r="M99" i="8"/>
  <c r="N85" i="8"/>
  <c r="O88" i="8" s="1"/>
  <c r="P93" i="8" s="1"/>
  <c r="N72" i="8"/>
  <c r="N69" i="8"/>
  <c r="N70" i="8"/>
  <c r="N74" i="8"/>
  <c r="N71" i="8"/>
  <c r="N73" i="8"/>
  <c r="N60" i="8"/>
  <c r="N65" i="8"/>
  <c r="N55" i="8"/>
  <c r="N57" i="8"/>
  <c r="N58" i="8"/>
  <c r="O62" i="8"/>
  <c r="N62" i="8"/>
  <c r="N63" i="8"/>
  <c r="N64" i="8"/>
  <c r="M57" i="8"/>
  <c r="M65" i="8"/>
  <c r="N59" i="8" s="1"/>
  <c r="M64" i="8"/>
  <c r="M55" i="8"/>
  <c r="N43" i="8"/>
  <c r="N44" i="8"/>
  <c r="O45" i="8" s="1"/>
  <c r="N41" i="8"/>
  <c r="N51" i="8"/>
  <c r="N46" i="8"/>
  <c r="N49" i="8"/>
  <c r="N50" i="8"/>
  <c r="O48" i="8" s="1"/>
  <c r="M43" i="8"/>
  <c r="N42" i="8" s="1"/>
  <c r="M51" i="8"/>
  <c r="N45" i="8" s="1"/>
  <c r="M49" i="8"/>
  <c r="N48" i="8" s="1"/>
  <c r="N34" i="8"/>
  <c r="N33" i="8"/>
  <c r="N35" i="8"/>
  <c r="O36" i="8" s="1"/>
  <c r="P35" i="8" s="1"/>
  <c r="N37" i="8"/>
  <c r="N36" i="8"/>
  <c r="O35" i="8" s="1"/>
  <c r="M39" i="8"/>
  <c r="N29" i="8"/>
  <c r="N25" i="8"/>
  <c r="N26" i="8"/>
  <c r="M31" i="8"/>
  <c r="N28" i="8"/>
  <c r="O27" i="8" s="1"/>
  <c r="L21" i="8"/>
  <c r="L20" i="8"/>
  <c r="M19" i="8" s="1"/>
  <c r="L19" i="8"/>
  <c r="M20" i="8" s="1"/>
  <c r="N19" i="8" s="1"/>
  <c r="M18" i="8"/>
  <c r="L18" i="8"/>
  <c r="M17" i="8"/>
  <c r="L17" i="8"/>
  <c r="M21" i="8" s="1"/>
  <c r="Q203" i="8" l="1"/>
  <c r="R183" i="8" s="1"/>
  <c r="O196" i="8"/>
  <c r="O190" i="8"/>
  <c r="O186" i="8"/>
  <c r="N207" i="8"/>
  <c r="O194" i="8"/>
  <c r="O180" i="8"/>
  <c r="O199" i="8"/>
  <c r="O201" i="8"/>
  <c r="P204" i="8" s="1"/>
  <c r="O200" i="8"/>
  <c r="O198" i="8"/>
  <c r="P202" i="8" s="1"/>
  <c r="Q205" i="8" s="1"/>
  <c r="R184" i="8" s="1"/>
  <c r="P180" i="8"/>
  <c r="O195" i="8"/>
  <c r="O188" i="8"/>
  <c r="P193" i="8" s="1"/>
  <c r="O193" i="8"/>
  <c r="O192" i="8"/>
  <c r="P181" i="8" s="1"/>
  <c r="O191" i="8"/>
  <c r="P194" i="8" s="1"/>
  <c r="O187" i="8"/>
  <c r="O185" i="8"/>
  <c r="Q173" i="8"/>
  <c r="Q176" i="8"/>
  <c r="O171" i="8"/>
  <c r="O172" i="8"/>
  <c r="O170" i="8"/>
  <c r="N178" i="8"/>
  <c r="O175" i="8"/>
  <c r="P172" i="8"/>
  <c r="P170" i="8"/>
  <c r="P171" i="8"/>
  <c r="P160" i="8"/>
  <c r="P148" i="8"/>
  <c r="Q159" i="8" s="1"/>
  <c r="P151" i="8"/>
  <c r="P149" i="8"/>
  <c r="O165" i="8"/>
  <c r="O147" i="8"/>
  <c r="O160" i="8"/>
  <c r="O148" i="8"/>
  <c r="O161" i="8"/>
  <c r="P163" i="8" s="1"/>
  <c r="O150" i="8"/>
  <c r="O156" i="8"/>
  <c r="O155" i="8"/>
  <c r="P154" i="8" s="1"/>
  <c r="Q157" i="8" s="1"/>
  <c r="P152" i="8"/>
  <c r="P165" i="8"/>
  <c r="P147" i="8"/>
  <c r="O154" i="8"/>
  <c r="P157" i="8" s="1"/>
  <c r="Q162" i="8" s="1"/>
  <c r="P143" i="8"/>
  <c r="P141" i="8"/>
  <c r="Q143" i="8"/>
  <c r="Q141" i="8"/>
  <c r="P142" i="8"/>
  <c r="P124" i="8"/>
  <c r="O138" i="8"/>
  <c r="P140" i="8" s="1"/>
  <c r="Q139" i="8" s="1"/>
  <c r="O127" i="8"/>
  <c r="P129" i="8"/>
  <c r="P136" i="8"/>
  <c r="O133" i="8"/>
  <c r="P130" i="8" s="1"/>
  <c r="O132" i="8"/>
  <c r="P128" i="8"/>
  <c r="P126" i="8"/>
  <c r="Q136" i="8"/>
  <c r="O142" i="8"/>
  <c r="O124" i="8"/>
  <c r="P119" i="8"/>
  <c r="P101" i="8"/>
  <c r="O110" i="8"/>
  <c r="O109" i="8"/>
  <c r="O107" i="8"/>
  <c r="P108" i="8" s="1"/>
  <c r="Q111" i="8" s="1"/>
  <c r="O119" i="8"/>
  <c r="O101" i="8"/>
  <c r="P114" i="8"/>
  <c r="P102" i="8"/>
  <c r="Q113" i="8" s="1"/>
  <c r="P103" i="8"/>
  <c r="O115" i="8"/>
  <c r="P117" i="8" s="1"/>
  <c r="Q116" i="8" s="1"/>
  <c r="O104" i="8"/>
  <c r="O114" i="8"/>
  <c r="O102" i="8"/>
  <c r="O105" i="8"/>
  <c r="P107" i="8" s="1"/>
  <c r="O103" i="8"/>
  <c r="P106" i="8" s="1"/>
  <c r="P80" i="8"/>
  <c r="P96" i="8"/>
  <c r="P78" i="8"/>
  <c r="O82" i="8"/>
  <c r="P83" i="8"/>
  <c r="N99" i="8"/>
  <c r="O96" i="8"/>
  <c r="O78" i="8"/>
  <c r="P91" i="8"/>
  <c r="P79" i="8"/>
  <c r="Q90" i="8" s="1"/>
  <c r="O87" i="8"/>
  <c r="O86" i="8"/>
  <c r="O84" i="8"/>
  <c r="P85" i="8" s="1"/>
  <c r="Q88" i="8" s="1"/>
  <c r="O92" i="8"/>
  <c r="P94" i="8" s="1"/>
  <c r="Q93" i="8" s="1"/>
  <c r="O81" i="8"/>
  <c r="O91" i="8"/>
  <c r="O79" i="8"/>
  <c r="P90" i="8" s="1"/>
  <c r="O69" i="8"/>
  <c r="O70" i="8"/>
  <c r="N76" i="8"/>
  <c r="O73" i="8"/>
  <c r="O72" i="8"/>
  <c r="O74" i="8"/>
  <c r="O71" i="8"/>
  <c r="P72" i="8" s="1"/>
  <c r="O60" i="8"/>
  <c r="P61" i="8" s="1"/>
  <c r="O65" i="8"/>
  <c r="O64" i="8"/>
  <c r="O63" i="8"/>
  <c r="N67" i="8"/>
  <c r="O56" i="8"/>
  <c r="M67" i="8"/>
  <c r="N56" i="8"/>
  <c r="P63" i="8"/>
  <c r="P64" i="8"/>
  <c r="O59" i="8"/>
  <c r="O61" i="8"/>
  <c r="P62" i="8" s="1"/>
  <c r="P49" i="8"/>
  <c r="O50" i="8"/>
  <c r="O49" i="8"/>
  <c r="O43" i="8"/>
  <c r="O44" i="8"/>
  <c r="O41" i="8"/>
  <c r="O46" i="8"/>
  <c r="P47" i="8" s="1"/>
  <c r="O51" i="8"/>
  <c r="P50" i="8" s="1"/>
  <c r="M53" i="8"/>
  <c r="N53" i="8"/>
  <c r="O42" i="8"/>
  <c r="P51" i="8"/>
  <c r="O47" i="8"/>
  <c r="N39" i="8"/>
  <c r="O37" i="8"/>
  <c r="P36" i="8" s="1"/>
  <c r="Q35" i="8" s="1"/>
  <c r="O34" i="8"/>
  <c r="O33" i="8"/>
  <c r="N31" i="8"/>
  <c r="O29" i="8"/>
  <c r="P28" i="8"/>
  <c r="Q27" i="8" s="1"/>
  <c r="O26" i="8"/>
  <c r="O25" i="8"/>
  <c r="O28" i="8"/>
  <c r="P27" i="8" s="1"/>
  <c r="N17" i="8"/>
  <c r="N18" i="8"/>
  <c r="M23" i="8"/>
  <c r="N20" i="8"/>
  <c r="O19" i="8" s="1"/>
  <c r="N21" i="8"/>
  <c r="Q201" i="8" l="1"/>
  <c r="R204" i="8" s="1"/>
  <c r="Q200" i="8"/>
  <c r="Q198" i="8"/>
  <c r="R202" i="8" s="1"/>
  <c r="S205" i="8" s="1"/>
  <c r="T184" i="8" s="1"/>
  <c r="O207" i="8"/>
  <c r="P189" i="8"/>
  <c r="Q192" i="8"/>
  <c r="R181" i="8" s="1"/>
  <c r="P197" i="8"/>
  <c r="P196" i="8"/>
  <c r="P190" i="8"/>
  <c r="P186" i="8"/>
  <c r="P201" i="8"/>
  <c r="Q204" i="8" s="1"/>
  <c r="P200" i="8"/>
  <c r="P198" i="8"/>
  <c r="Q202" i="8" s="1"/>
  <c r="R205" i="8" s="1"/>
  <c r="S184" i="8" s="1"/>
  <c r="Q189" i="8"/>
  <c r="P195" i="8"/>
  <c r="P188" i="8"/>
  <c r="Q193" i="8" s="1"/>
  <c r="P192" i="8"/>
  <c r="Q181" i="8" s="1"/>
  <c r="P182" i="8"/>
  <c r="P203" i="8"/>
  <c r="Q183" i="8" s="1"/>
  <c r="P191" i="8"/>
  <c r="P187" i="8"/>
  <c r="P185" i="8"/>
  <c r="P176" i="8"/>
  <c r="P173" i="8"/>
  <c r="Q174" i="8"/>
  <c r="O178" i="8"/>
  <c r="P174" i="8"/>
  <c r="P178" i="8" s="1"/>
  <c r="Q158" i="8"/>
  <c r="P166" i="8"/>
  <c r="P164" i="8"/>
  <c r="P156" i="8"/>
  <c r="Q153" i="8" s="1"/>
  <c r="P155" i="8"/>
  <c r="O168" i="8"/>
  <c r="P158" i="8"/>
  <c r="R148" i="8"/>
  <c r="P153" i="8"/>
  <c r="Q154" i="8" s="1"/>
  <c r="R157" i="8" s="1"/>
  <c r="P161" i="8"/>
  <c r="Q163" i="8" s="1"/>
  <c r="R162" i="8" s="1"/>
  <c r="P150" i="8"/>
  <c r="P159" i="8"/>
  <c r="Q149" i="8" s="1"/>
  <c r="Q152" i="8"/>
  <c r="Q166" i="8"/>
  <c r="Q164" i="8"/>
  <c r="R160" i="8" s="1"/>
  <c r="O145" i="8"/>
  <c r="P135" i="8"/>
  <c r="Q137" i="8"/>
  <c r="Q125" i="8"/>
  <c r="R136" i="8" s="1"/>
  <c r="Q135" i="8"/>
  <c r="P138" i="8"/>
  <c r="Q140" i="8" s="1"/>
  <c r="P127" i="8"/>
  <c r="P145" i="8" s="1"/>
  <c r="Q128" i="8"/>
  <c r="Q126" i="8"/>
  <c r="R129" i="8" s="1"/>
  <c r="R137" i="8"/>
  <c r="R125" i="8"/>
  <c r="P133" i="8"/>
  <c r="P132" i="8"/>
  <c r="Q129" i="8"/>
  <c r="P131" i="8"/>
  <c r="Q134" i="8" s="1"/>
  <c r="R139" i="8" s="1"/>
  <c r="Q105" i="8"/>
  <c r="R116" i="8"/>
  <c r="P113" i="8"/>
  <c r="Q103" i="8" s="1"/>
  <c r="R106" i="8" s="1"/>
  <c r="P115" i="8"/>
  <c r="Q117" i="8" s="1"/>
  <c r="P104" i="8"/>
  <c r="P120" i="8"/>
  <c r="P118" i="8"/>
  <c r="P105" i="8"/>
  <c r="Q107" i="8" s="1"/>
  <c r="O122" i="8"/>
  <c r="P112" i="8"/>
  <c r="P110" i="8"/>
  <c r="P109" i="8"/>
  <c r="Q108" i="8" s="1"/>
  <c r="R111" i="8" s="1"/>
  <c r="R102" i="8"/>
  <c r="Q112" i="8"/>
  <c r="Q120" i="8"/>
  <c r="R114" i="8" s="1"/>
  <c r="Q118" i="8"/>
  <c r="Q97" i="8"/>
  <c r="Q95" i="8"/>
  <c r="Q91" i="8"/>
  <c r="Q79" i="8"/>
  <c r="P97" i="8"/>
  <c r="P95" i="8"/>
  <c r="P92" i="8"/>
  <c r="Q94" i="8" s="1"/>
  <c r="R93" i="8" s="1"/>
  <c r="P81" i="8"/>
  <c r="O99" i="8"/>
  <c r="P89" i="8"/>
  <c r="Q82" i="8"/>
  <c r="Q80" i="8"/>
  <c r="R91" i="8"/>
  <c r="R79" i="8"/>
  <c r="Q89" i="8"/>
  <c r="P87" i="8"/>
  <c r="P86" i="8"/>
  <c r="P84" i="8"/>
  <c r="P82" i="8"/>
  <c r="Q84" i="8" s="1"/>
  <c r="P69" i="8"/>
  <c r="P70" i="8"/>
  <c r="Q71" i="8"/>
  <c r="Q74" i="8"/>
  <c r="P71" i="8"/>
  <c r="Q72" i="8" s="1"/>
  <c r="P74" i="8"/>
  <c r="O76" i="8"/>
  <c r="P73" i="8"/>
  <c r="P65" i="8"/>
  <c r="P60" i="8"/>
  <c r="Q61" i="8" s="1"/>
  <c r="P57" i="8"/>
  <c r="P58" i="8"/>
  <c r="Q59" i="8" s="1"/>
  <c r="P55" i="8"/>
  <c r="Q63" i="8"/>
  <c r="Q64" i="8"/>
  <c r="O57" i="8"/>
  <c r="O58" i="8"/>
  <c r="P59" i="8" s="1"/>
  <c r="O55" i="8"/>
  <c r="Q62" i="8"/>
  <c r="O53" i="8"/>
  <c r="P42" i="8"/>
  <c r="P45" i="8"/>
  <c r="P43" i="8"/>
  <c r="P44" i="8"/>
  <c r="P41" i="8"/>
  <c r="Q48" i="8"/>
  <c r="P48" i="8"/>
  <c r="P46" i="8"/>
  <c r="Q47" i="8" s="1"/>
  <c r="P37" i="8"/>
  <c r="O39" i="8"/>
  <c r="P34" i="8"/>
  <c r="P33" i="8"/>
  <c r="P29" i="8"/>
  <c r="O31" i="8"/>
  <c r="P25" i="8"/>
  <c r="P26" i="8"/>
  <c r="O17" i="8"/>
  <c r="O18" i="8"/>
  <c r="N23" i="8"/>
  <c r="O21" i="8"/>
  <c r="O20" i="8"/>
  <c r="P19" i="8" s="1"/>
  <c r="Q195" i="8" l="1"/>
  <c r="R197" i="8" s="1"/>
  <c r="Q188" i="8"/>
  <c r="R193" i="8" s="1"/>
  <c r="Q191" i="8"/>
  <c r="Q187" i="8"/>
  <c r="Q185" i="8"/>
  <c r="R192" i="8"/>
  <c r="S181" i="8" s="1"/>
  <c r="R194" i="8"/>
  <c r="R180" i="8"/>
  <c r="R199" i="8"/>
  <c r="R201" i="8"/>
  <c r="S204" i="8" s="1"/>
  <c r="R200" i="8"/>
  <c r="Q194" i="8"/>
  <c r="Q180" i="8"/>
  <c r="Q197" i="8"/>
  <c r="R198" i="8" s="1"/>
  <c r="S202" i="8" s="1"/>
  <c r="T205" i="8" s="1"/>
  <c r="U184" i="8" s="1"/>
  <c r="Q196" i="8"/>
  <c r="Q190" i="8"/>
  <c r="Q186" i="8"/>
  <c r="Q199" i="8"/>
  <c r="R182" i="8" s="1"/>
  <c r="P207" i="8"/>
  <c r="R170" i="8"/>
  <c r="R171" i="8"/>
  <c r="R172" i="8"/>
  <c r="R175" i="8"/>
  <c r="Q171" i="8"/>
  <c r="Q170" i="8"/>
  <c r="Q172" i="8"/>
  <c r="Q175" i="8"/>
  <c r="S166" i="8"/>
  <c r="S164" i="8"/>
  <c r="R152" i="8"/>
  <c r="Q156" i="8"/>
  <c r="Q155" i="8"/>
  <c r="Q151" i="8"/>
  <c r="R153" i="8" s="1"/>
  <c r="Q161" i="8"/>
  <c r="R163" i="8" s="1"/>
  <c r="Q150" i="8"/>
  <c r="R151" i="8"/>
  <c r="R149" i="8"/>
  <c r="S162" i="8"/>
  <c r="P168" i="8"/>
  <c r="Q160" i="8"/>
  <c r="Q148" i="8"/>
  <c r="S159" i="8"/>
  <c r="Q165" i="8"/>
  <c r="Q147" i="8"/>
  <c r="R165" i="8"/>
  <c r="R147" i="8"/>
  <c r="S126" i="8"/>
  <c r="Q130" i="8"/>
  <c r="R131" i="8" s="1"/>
  <c r="S134" i="8" s="1"/>
  <c r="Q138" i="8"/>
  <c r="R140" i="8" s="1"/>
  <c r="Q127" i="8"/>
  <c r="R142" i="8"/>
  <c r="R124" i="8"/>
  <c r="Q142" i="8"/>
  <c r="Q124" i="8"/>
  <c r="S136" i="8"/>
  <c r="Q133" i="8"/>
  <c r="Q132" i="8"/>
  <c r="S125" i="8"/>
  <c r="R128" i="8"/>
  <c r="R126" i="8"/>
  <c r="S143" i="8"/>
  <c r="S141" i="8"/>
  <c r="R143" i="8"/>
  <c r="R141" i="8"/>
  <c r="S137" i="8" s="1"/>
  <c r="Q131" i="8"/>
  <c r="R134" i="8" s="1"/>
  <c r="S139" i="8" s="1"/>
  <c r="S120" i="8"/>
  <c r="S118" i="8"/>
  <c r="Q110" i="8"/>
  <c r="Q109" i="8"/>
  <c r="R108" i="8" s="1"/>
  <c r="S111" i="8" s="1"/>
  <c r="R119" i="8"/>
  <c r="R101" i="8"/>
  <c r="Q106" i="8"/>
  <c r="P122" i="8"/>
  <c r="Q115" i="8"/>
  <c r="R117" i="8" s="1"/>
  <c r="S116" i="8" s="1"/>
  <c r="Q104" i="8"/>
  <c r="Q119" i="8"/>
  <c r="Q101" i="8"/>
  <c r="Q114" i="8"/>
  <c r="Q102" i="8"/>
  <c r="R113" i="8" s="1"/>
  <c r="R107" i="8"/>
  <c r="S105" i="8" s="1"/>
  <c r="Q92" i="8"/>
  <c r="R94" i="8" s="1"/>
  <c r="Q81" i="8"/>
  <c r="R84" i="8"/>
  <c r="R97" i="8"/>
  <c r="R95" i="8"/>
  <c r="S97" i="8"/>
  <c r="S95" i="8"/>
  <c r="Q96" i="8"/>
  <c r="Q78" i="8"/>
  <c r="P99" i="8"/>
  <c r="Q83" i="8"/>
  <c r="Q85" i="8"/>
  <c r="R88" i="8" s="1"/>
  <c r="S93" i="8" s="1"/>
  <c r="R96" i="8"/>
  <c r="R78" i="8"/>
  <c r="R83" i="8"/>
  <c r="Q87" i="8"/>
  <c r="Q86" i="8"/>
  <c r="R90" i="8"/>
  <c r="R74" i="8"/>
  <c r="R71" i="8"/>
  <c r="P76" i="8"/>
  <c r="Q73" i="8"/>
  <c r="Q69" i="8"/>
  <c r="Q70" i="8"/>
  <c r="R72" i="8"/>
  <c r="R60" i="8"/>
  <c r="R65" i="8"/>
  <c r="R63" i="8"/>
  <c r="R62" i="8"/>
  <c r="O67" i="8"/>
  <c r="P56" i="8"/>
  <c r="Q60" i="8"/>
  <c r="R61" i="8" s="1"/>
  <c r="Q65" i="8"/>
  <c r="R64" i="8" s="1"/>
  <c r="Q56" i="8"/>
  <c r="Q45" i="8"/>
  <c r="Q50" i="8"/>
  <c r="Q49" i="8"/>
  <c r="R48" i="8" s="1"/>
  <c r="R49" i="8"/>
  <c r="R50" i="8"/>
  <c r="Q46" i="8"/>
  <c r="R47" i="8" s="1"/>
  <c r="S48" i="8" s="1"/>
  <c r="Q51" i="8"/>
  <c r="P53" i="8"/>
  <c r="Q42" i="8"/>
  <c r="Q44" i="8"/>
  <c r="R45" i="8" s="1"/>
  <c r="Q41" i="8"/>
  <c r="Q43" i="8"/>
  <c r="Q33" i="8"/>
  <c r="Q34" i="8"/>
  <c r="Q36" i="8"/>
  <c r="R35" i="8" s="1"/>
  <c r="P39" i="8"/>
  <c r="Q37" i="8"/>
  <c r="Q26" i="8"/>
  <c r="Q25" i="8"/>
  <c r="P31" i="8"/>
  <c r="Q29" i="8"/>
  <c r="Q28" i="8"/>
  <c r="R27" i="8" s="1"/>
  <c r="P18" i="8"/>
  <c r="P17" i="8"/>
  <c r="P20" i="8"/>
  <c r="Q19" i="8" s="1"/>
  <c r="P21" i="8"/>
  <c r="O23" i="8"/>
  <c r="S200" i="8" l="1"/>
  <c r="S201" i="8"/>
  <c r="T204" i="8" s="1"/>
  <c r="S198" i="8"/>
  <c r="T202" i="8" s="1"/>
  <c r="U205" i="8" s="1"/>
  <c r="V184" i="8" s="1"/>
  <c r="R191" i="8"/>
  <c r="R187" i="8"/>
  <c r="R185" i="8"/>
  <c r="R203" i="8"/>
  <c r="S183" i="8" s="1"/>
  <c r="S182" i="8"/>
  <c r="S203" i="8"/>
  <c r="T183" i="8" s="1"/>
  <c r="R196" i="8"/>
  <c r="R190" i="8"/>
  <c r="R186" i="8"/>
  <c r="R189" i="8"/>
  <c r="Q207" i="8"/>
  <c r="S189" i="8"/>
  <c r="R195" i="8"/>
  <c r="S197" i="8" s="1"/>
  <c r="R188" i="8"/>
  <c r="R176" i="8"/>
  <c r="R173" i="8"/>
  <c r="S175" i="8" s="1"/>
  <c r="S176" i="8"/>
  <c r="S173" i="8"/>
  <c r="R174" i="8"/>
  <c r="Q178" i="8"/>
  <c r="R178" i="8"/>
  <c r="S174" i="8"/>
  <c r="R166" i="8"/>
  <c r="R164" i="8"/>
  <c r="R161" i="8"/>
  <c r="S163" i="8" s="1"/>
  <c r="R150" i="8"/>
  <c r="S158" i="8"/>
  <c r="T160" i="8"/>
  <c r="T148" i="8"/>
  <c r="S151" i="8"/>
  <c r="R159" i="8"/>
  <c r="R158" i="8"/>
  <c r="Q168" i="8"/>
  <c r="R156" i="8"/>
  <c r="R155" i="8"/>
  <c r="R154" i="8"/>
  <c r="S157" i="8" s="1"/>
  <c r="T143" i="8"/>
  <c r="T141" i="8"/>
  <c r="S135" i="8"/>
  <c r="T136" i="8"/>
  <c r="T137" i="8"/>
  <c r="T125" i="8"/>
  <c r="R135" i="8"/>
  <c r="Q145" i="8"/>
  <c r="R130" i="8"/>
  <c r="S129" i="8"/>
  <c r="R138" i="8"/>
  <c r="S140" i="8" s="1"/>
  <c r="T139" i="8" s="1"/>
  <c r="R127" i="8"/>
  <c r="R133" i="8"/>
  <c r="S130" i="8" s="1"/>
  <c r="R132" i="8"/>
  <c r="S108" i="8"/>
  <c r="T111" i="8" s="1"/>
  <c r="S102" i="8"/>
  <c r="R105" i="8"/>
  <c r="S107" i="8" s="1"/>
  <c r="R103" i="8"/>
  <c r="R115" i="8"/>
  <c r="S117" i="8" s="1"/>
  <c r="T116" i="8" s="1"/>
  <c r="R104" i="8"/>
  <c r="R120" i="8"/>
  <c r="R118" i="8"/>
  <c r="S114" i="8" s="1"/>
  <c r="R110" i="8"/>
  <c r="R109" i="8"/>
  <c r="S112" i="8"/>
  <c r="R112" i="8"/>
  <c r="Q122" i="8"/>
  <c r="S103" i="8"/>
  <c r="R92" i="8"/>
  <c r="S94" i="8" s="1"/>
  <c r="R81" i="8"/>
  <c r="R85" i="8"/>
  <c r="S88" i="8" s="1"/>
  <c r="T93" i="8" s="1"/>
  <c r="R89" i="8"/>
  <c r="Q99" i="8"/>
  <c r="R87" i="8"/>
  <c r="R86" i="8"/>
  <c r="S91" i="8"/>
  <c r="S79" i="8"/>
  <c r="T90" i="8" s="1"/>
  <c r="S89" i="8"/>
  <c r="S82" i="8"/>
  <c r="S80" i="8"/>
  <c r="T83" i="8" s="1"/>
  <c r="R82" i="8"/>
  <c r="S84" i="8" s="1"/>
  <c r="R80" i="8"/>
  <c r="Q76" i="8"/>
  <c r="R73" i="8"/>
  <c r="R69" i="8"/>
  <c r="R70" i="8"/>
  <c r="S74" i="8"/>
  <c r="S71" i="8"/>
  <c r="S72" i="8"/>
  <c r="R55" i="8"/>
  <c r="R57" i="8"/>
  <c r="R58" i="8"/>
  <c r="S59" i="8" s="1"/>
  <c r="S62" i="8"/>
  <c r="Q58" i="8"/>
  <c r="R59" i="8" s="1"/>
  <c r="Q55" i="8"/>
  <c r="Q57" i="8"/>
  <c r="P67" i="8"/>
  <c r="S64" i="8"/>
  <c r="S63" i="8"/>
  <c r="S61" i="8"/>
  <c r="T62" i="8" s="1"/>
  <c r="S49" i="8"/>
  <c r="S46" i="8"/>
  <c r="T47" i="8" s="1"/>
  <c r="S51" i="8"/>
  <c r="R42" i="8"/>
  <c r="Q53" i="8"/>
  <c r="T49" i="8"/>
  <c r="T50" i="8"/>
  <c r="R43" i="8"/>
  <c r="R41" i="8"/>
  <c r="R44" i="8"/>
  <c r="S45" i="8" s="1"/>
  <c r="R46" i="8"/>
  <c r="S47" i="8" s="1"/>
  <c r="R51" i="8"/>
  <c r="S50" i="8" s="1"/>
  <c r="R33" i="8"/>
  <c r="R34" i="8"/>
  <c r="R36" i="8"/>
  <c r="S35" i="8" s="1"/>
  <c r="Q39" i="8"/>
  <c r="R37" i="8"/>
  <c r="R25" i="8"/>
  <c r="R26" i="8"/>
  <c r="R28" i="8"/>
  <c r="S27" i="8" s="1"/>
  <c r="Q31" i="8"/>
  <c r="R29" i="8"/>
  <c r="S28" i="8"/>
  <c r="T27" i="8" s="1"/>
  <c r="P23" i="8"/>
  <c r="Q21" i="8"/>
  <c r="R20" i="8"/>
  <c r="S19" i="8" s="1"/>
  <c r="Q18" i="8"/>
  <c r="Q17" i="8"/>
  <c r="Q20" i="8"/>
  <c r="R19" i="8" s="1"/>
  <c r="S191" i="8" l="1"/>
  <c r="S187" i="8"/>
  <c r="S185" i="8"/>
  <c r="S194" i="8"/>
  <c r="S180" i="8"/>
  <c r="S195" i="8"/>
  <c r="T197" i="8" s="1"/>
  <c r="S188" i="8"/>
  <c r="T194" i="8"/>
  <c r="T180" i="8"/>
  <c r="T199" i="8"/>
  <c r="U182" i="8" s="1"/>
  <c r="R207" i="8"/>
  <c r="S199" i="8"/>
  <c r="T182" i="8" s="1"/>
  <c r="S193" i="8"/>
  <c r="S192" i="8"/>
  <c r="T181" i="8" s="1"/>
  <c r="S196" i="8"/>
  <c r="S190" i="8"/>
  <c r="S186" i="8"/>
  <c r="T172" i="8"/>
  <c r="T171" i="8"/>
  <c r="T170" i="8"/>
  <c r="T175" i="8"/>
  <c r="T176" i="8"/>
  <c r="T173" i="8"/>
  <c r="S171" i="8"/>
  <c r="S172" i="8"/>
  <c r="S170" i="8"/>
  <c r="S160" i="8"/>
  <c r="S148" i="8"/>
  <c r="U166" i="8"/>
  <c r="U164" i="8"/>
  <c r="T162" i="8"/>
  <c r="S165" i="8"/>
  <c r="S147" i="8"/>
  <c r="S149" i="8"/>
  <c r="T152" i="8" s="1"/>
  <c r="T165" i="8"/>
  <c r="T147" i="8"/>
  <c r="S153" i="8"/>
  <c r="S161" i="8"/>
  <c r="T163" i="8" s="1"/>
  <c r="S150" i="8"/>
  <c r="S154" i="8"/>
  <c r="T157" i="8" s="1"/>
  <c r="U162" i="8" s="1"/>
  <c r="R168" i="8"/>
  <c r="S152" i="8"/>
  <c r="S156" i="8"/>
  <c r="S155" i="8"/>
  <c r="S133" i="8"/>
  <c r="S132" i="8"/>
  <c r="S131" i="8"/>
  <c r="T134" i="8" s="1"/>
  <c r="S128" i="8"/>
  <c r="U136" i="8"/>
  <c r="R145" i="8"/>
  <c r="U143" i="8"/>
  <c r="U141" i="8"/>
  <c r="S138" i="8"/>
  <c r="T140" i="8" s="1"/>
  <c r="S127" i="8"/>
  <c r="T128" i="8"/>
  <c r="T126" i="8"/>
  <c r="S142" i="8"/>
  <c r="S124" i="8"/>
  <c r="U137" i="8"/>
  <c r="U125" i="8"/>
  <c r="T142" i="8"/>
  <c r="T124" i="8"/>
  <c r="T120" i="8"/>
  <c r="T118" i="8"/>
  <c r="T119" i="8"/>
  <c r="T101" i="8"/>
  <c r="S106" i="8"/>
  <c r="S113" i="8"/>
  <c r="U116" i="8"/>
  <c r="T106" i="8"/>
  <c r="R122" i="8"/>
  <c r="T108" i="8"/>
  <c r="U111" i="8" s="1"/>
  <c r="T107" i="8"/>
  <c r="S119" i="8"/>
  <c r="S101" i="8"/>
  <c r="S115" i="8"/>
  <c r="T117" i="8" s="1"/>
  <c r="S104" i="8"/>
  <c r="S110" i="8"/>
  <c r="S109" i="8"/>
  <c r="T113" i="8"/>
  <c r="R99" i="8"/>
  <c r="U79" i="8"/>
  <c r="S83" i="8"/>
  <c r="S90" i="8"/>
  <c r="T96" i="8"/>
  <c r="T78" i="8"/>
  <c r="S92" i="8"/>
  <c r="T94" i="8" s="1"/>
  <c r="S81" i="8"/>
  <c r="S85" i="8"/>
  <c r="T88" i="8" s="1"/>
  <c r="U93" i="8" s="1"/>
  <c r="S87" i="8"/>
  <c r="T84" i="8" s="1"/>
  <c r="S86" i="8"/>
  <c r="T85" i="8"/>
  <c r="U88" i="8" s="1"/>
  <c r="U80" i="8"/>
  <c r="T97" i="8"/>
  <c r="T95" i="8"/>
  <c r="U91" i="8" s="1"/>
  <c r="S96" i="8"/>
  <c r="S78" i="8"/>
  <c r="S73" i="8"/>
  <c r="R76" i="8"/>
  <c r="T71" i="8"/>
  <c r="T74" i="8"/>
  <c r="T72" i="8"/>
  <c r="S69" i="8"/>
  <c r="S70" i="8"/>
  <c r="T63" i="8"/>
  <c r="U63" i="8"/>
  <c r="U64" i="8"/>
  <c r="T65" i="8"/>
  <c r="T60" i="8"/>
  <c r="U61" i="8" s="1"/>
  <c r="V62" i="8" s="1"/>
  <c r="Q67" i="8"/>
  <c r="R56" i="8"/>
  <c r="S60" i="8"/>
  <c r="T61" i="8" s="1"/>
  <c r="S65" i="8"/>
  <c r="T64" i="8" s="1"/>
  <c r="R67" i="8"/>
  <c r="S56" i="8"/>
  <c r="T48" i="8"/>
  <c r="R53" i="8"/>
  <c r="S42" i="8"/>
  <c r="T51" i="8"/>
  <c r="T46" i="8"/>
  <c r="U47" i="8" s="1"/>
  <c r="U48" i="8"/>
  <c r="S43" i="8"/>
  <c r="S44" i="8"/>
  <c r="T45" i="8" s="1"/>
  <c r="S41" i="8"/>
  <c r="R39" i="8"/>
  <c r="S37" i="8"/>
  <c r="T36" i="8" s="1"/>
  <c r="U35" i="8" s="1"/>
  <c r="S33" i="8"/>
  <c r="S34" i="8"/>
  <c r="S36" i="8"/>
  <c r="T35" i="8" s="1"/>
  <c r="S26" i="8"/>
  <c r="S25" i="8"/>
  <c r="R31" i="8"/>
  <c r="S29" i="8"/>
  <c r="Q23" i="8"/>
  <c r="R21" i="8"/>
  <c r="S20" i="8"/>
  <c r="T19" i="8" s="1"/>
  <c r="R17" i="8"/>
  <c r="R18" i="8"/>
  <c r="T185" i="8" l="1"/>
  <c r="T191" i="8"/>
  <c r="T187" i="8"/>
  <c r="T201" i="8"/>
  <c r="U204" i="8" s="1"/>
  <c r="T198" i="8"/>
  <c r="U202" i="8" s="1"/>
  <c r="T200" i="8"/>
  <c r="T196" i="8"/>
  <c r="T190" i="8"/>
  <c r="T186" i="8"/>
  <c r="U189" i="8"/>
  <c r="S207" i="8"/>
  <c r="T189" i="8"/>
  <c r="T188" i="8"/>
  <c r="U193" i="8" s="1"/>
  <c r="T195" i="8"/>
  <c r="U197" i="8" s="1"/>
  <c r="T193" i="8"/>
  <c r="T192" i="8"/>
  <c r="U181" i="8" s="1"/>
  <c r="T203" i="8"/>
  <c r="U183" i="8" s="1"/>
  <c r="U203" i="8"/>
  <c r="V183" i="8" s="1"/>
  <c r="U173" i="8"/>
  <c r="U176" i="8"/>
  <c r="U174" i="8"/>
  <c r="S178" i="8"/>
  <c r="T174" i="8"/>
  <c r="T178" i="8" s="1"/>
  <c r="U149" i="8"/>
  <c r="T153" i="8"/>
  <c r="T154" i="8"/>
  <c r="U157" i="8" s="1"/>
  <c r="V162" i="8" s="1"/>
  <c r="S168" i="8"/>
  <c r="T158" i="8"/>
  <c r="T161" i="8"/>
  <c r="U163" i="8" s="1"/>
  <c r="T150" i="8"/>
  <c r="U158" i="8"/>
  <c r="T168" i="8"/>
  <c r="T159" i="8"/>
  <c r="T151" i="8"/>
  <c r="T149" i="8"/>
  <c r="T156" i="8"/>
  <c r="T155" i="8"/>
  <c r="T166" i="8"/>
  <c r="T164" i="8"/>
  <c r="V143" i="8"/>
  <c r="V141" i="8"/>
  <c r="U139" i="8"/>
  <c r="T138" i="8"/>
  <c r="U140" i="8" s="1"/>
  <c r="T127" i="8"/>
  <c r="S145" i="8"/>
  <c r="T135" i="8"/>
  <c r="V137" i="8"/>
  <c r="V125" i="8"/>
  <c r="U135" i="8"/>
  <c r="T133" i="8"/>
  <c r="T132" i="8"/>
  <c r="U129" i="8"/>
  <c r="T130" i="8"/>
  <c r="T129" i="8"/>
  <c r="T145" i="8" s="1"/>
  <c r="T131" i="8"/>
  <c r="U134" i="8" s="1"/>
  <c r="V139" i="8" s="1"/>
  <c r="T110" i="8"/>
  <c r="T109" i="8"/>
  <c r="U108" i="8"/>
  <c r="V111" i="8" s="1"/>
  <c r="U114" i="8"/>
  <c r="U102" i="8"/>
  <c r="V116" i="8"/>
  <c r="T114" i="8"/>
  <c r="T102" i="8"/>
  <c r="T115" i="8"/>
  <c r="U117" i="8" s="1"/>
  <c r="T104" i="8"/>
  <c r="S122" i="8"/>
  <c r="T112" i="8"/>
  <c r="U105" i="8"/>
  <c r="U103" i="8"/>
  <c r="U112" i="8"/>
  <c r="T105" i="8"/>
  <c r="U107" i="8" s="1"/>
  <c r="T103" i="8"/>
  <c r="U106" i="8" s="1"/>
  <c r="V97" i="8"/>
  <c r="V95" i="8"/>
  <c r="U82" i="8"/>
  <c r="T87" i="8"/>
  <c r="T86" i="8"/>
  <c r="T91" i="8"/>
  <c r="T79" i="8"/>
  <c r="S99" i="8"/>
  <c r="T89" i="8"/>
  <c r="T92" i="8"/>
  <c r="U94" i="8" s="1"/>
  <c r="V93" i="8" s="1"/>
  <c r="T81" i="8"/>
  <c r="T82" i="8"/>
  <c r="U84" i="8" s="1"/>
  <c r="T80" i="8"/>
  <c r="V83" i="8"/>
  <c r="U89" i="8"/>
  <c r="V90" i="8"/>
  <c r="S76" i="8"/>
  <c r="T73" i="8"/>
  <c r="U72" i="8" s="1"/>
  <c r="T69" i="8"/>
  <c r="T70" i="8"/>
  <c r="U74" i="8"/>
  <c r="U71" i="8"/>
  <c r="T57" i="8"/>
  <c r="T58" i="8"/>
  <c r="U59" i="8" s="1"/>
  <c r="T55" i="8"/>
  <c r="S57" i="8"/>
  <c r="S55" i="8"/>
  <c r="S58" i="8"/>
  <c r="T59" i="8" s="1"/>
  <c r="U62" i="8"/>
  <c r="V49" i="8"/>
  <c r="V50" i="8"/>
  <c r="U46" i="8"/>
  <c r="V47" i="8" s="1"/>
  <c r="U51" i="8"/>
  <c r="T43" i="8"/>
  <c r="T44" i="8"/>
  <c r="U45" i="8" s="1"/>
  <c r="T41" i="8"/>
  <c r="S53" i="8"/>
  <c r="T42" i="8"/>
  <c r="U49" i="8"/>
  <c r="V48" i="8" s="1"/>
  <c r="U50" i="8"/>
  <c r="T37" i="8"/>
  <c r="S39" i="8"/>
  <c r="U36" i="8"/>
  <c r="V35" i="8" s="1"/>
  <c r="T34" i="8"/>
  <c r="T33" i="8"/>
  <c r="T29" i="8"/>
  <c r="S31" i="8"/>
  <c r="T26" i="8"/>
  <c r="T25" i="8"/>
  <c r="T28" i="8"/>
  <c r="U27" i="8" s="1"/>
  <c r="S17" i="8"/>
  <c r="S18" i="8"/>
  <c r="R23" i="8"/>
  <c r="S21" i="8"/>
  <c r="U191" i="8" l="1"/>
  <c r="U187" i="8"/>
  <c r="U185" i="8"/>
  <c r="V192" i="8"/>
  <c r="W181" i="8" s="1"/>
  <c r="V201" i="8"/>
  <c r="V200" i="8"/>
  <c r="V198" i="8"/>
  <c r="V194" i="8"/>
  <c r="V180" i="8"/>
  <c r="U201" i="8"/>
  <c r="V204" i="8" s="1"/>
  <c r="U200" i="8"/>
  <c r="U198" i="8"/>
  <c r="V202" i="8" s="1"/>
  <c r="W205" i="8" s="1"/>
  <c r="X184" i="8" s="1"/>
  <c r="U194" i="8"/>
  <c r="U180" i="8"/>
  <c r="U199" i="8"/>
  <c r="V182" i="8" s="1"/>
  <c r="V199" i="8"/>
  <c r="W182" i="8" s="1"/>
  <c r="U195" i="8"/>
  <c r="U188" i="8"/>
  <c r="U192" i="8"/>
  <c r="V181" i="8" s="1"/>
  <c r="T207" i="8"/>
  <c r="V205" i="8"/>
  <c r="W184" i="8" s="1"/>
  <c r="U196" i="8"/>
  <c r="U190" i="8"/>
  <c r="U186" i="8"/>
  <c r="V170" i="8"/>
  <c r="V172" i="8"/>
  <c r="V171" i="8"/>
  <c r="U170" i="8"/>
  <c r="U172" i="8"/>
  <c r="U171" i="8"/>
  <c r="U175" i="8"/>
  <c r="V175" i="8"/>
  <c r="V152" i="8"/>
  <c r="U152" i="8"/>
  <c r="U159" i="8"/>
  <c r="V165" i="8"/>
  <c r="V147" i="8"/>
  <c r="U153" i="8"/>
  <c r="V154" i="8" s="1"/>
  <c r="W157" i="8" s="1"/>
  <c r="U156" i="8"/>
  <c r="U155" i="8"/>
  <c r="U161" i="8"/>
  <c r="V163" i="8" s="1"/>
  <c r="U150" i="8"/>
  <c r="U160" i="8"/>
  <c r="U148" i="8"/>
  <c r="V159" i="8" s="1"/>
  <c r="U154" i="8"/>
  <c r="V157" i="8" s="1"/>
  <c r="W162" i="8" s="1"/>
  <c r="U165" i="8"/>
  <c r="U147" i="8"/>
  <c r="U151" i="8"/>
  <c r="V126" i="8"/>
  <c r="U142" i="8"/>
  <c r="U124" i="8"/>
  <c r="U130" i="8"/>
  <c r="U128" i="8"/>
  <c r="U126" i="8"/>
  <c r="U138" i="8"/>
  <c r="V140" i="8" s="1"/>
  <c r="U127" i="8"/>
  <c r="W136" i="8"/>
  <c r="U133" i="8"/>
  <c r="U132" i="8"/>
  <c r="V142" i="8"/>
  <c r="V124" i="8"/>
  <c r="U131" i="8"/>
  <c r="V134" i="8" s="1"/>
  <c r="W139" i="8" s="1"/>
  <c r="W143" i="8"/>
  <c r="W141" i="8"/>
  <c r="U120" i="8"/>
  <c r="U118" i="8"/>
  <c r="V105" i="8"/>
  <c r="V103" i="8"/>
  <c r="U110" i="8"/>
  <c r="V107" i="8" s="1"/>
  <c r="U109" i="8"/>
  <c r="T122" i="8"/>
  <c r="U119" i="8"/>
  <c r="U101" i="8"/>
  <c r="U113" i="8"/>
  <c r="V120" i="8"/>
  <c r="V118" i="8"/>
  <c r="V119" i="8"/>
  <c r="V101" i="8"/>
  <c r="V106" i="8"/>
  <c r="U115" i="8"/>
  <c r="V117" i="8" s="1"/>
  <c r="W116" i="8" s="1"/>
  <c r="U104" i="8"/>
  <c r="V108" i="8"/>
  <c r="W111" i="8" s="1"/>
  <c r="V113" i="8"/>
  <c r="W80" i="8"/>
  <c r="U97" i="8"/>
  <c r="U95" i="8"/>
  <c r="W91" i="8"/>
  <c r="W79" i="8"/>
  <c r="U83" i="8"/>
  <c r="U96" i="8"/>
  <c r="U78" i="8"/>
  <c r="U92" i="8"/>
  <c r="V94" i="8" s="1"/>
  <c r="U81" i="8"/>
  <c r="U85" i="8"/>
  <c r="V88" i="8" s="1"/>
  <c r="T99" i="8"/>
  <c r="V96" i="8"/>
  <c r="V78" i="8"/>
  <c r="U87" i="8"/>
  <c r="U86" i="8"/>
  <c r="U90" i="8"/>
  <c r="V74" i="8"/>
  <c r="V71" i="8"/>
  <c r="T76" i="8"/>
  <c r="U73" i="8"/>
  <c r="U69" i="8"/>
  <c r="U70" i="8"/>
  <c r="U60" i="8"/>
  <c r="V61" i="8" s="1"/>
  <c r="U65" i="8"/>
  <c r="V64" i="8" s="1"/>
  <c r="V63" i="8"/>
  <c r="U56" i="8"/>
  <c r="V60" i="8"/>
  <c r="V65" i="8"/>
  <c r="S67" i="8"/>
  <c r="T56" i="8"/>
  <c r="T53" i="8"/>
  <c r="U42" i="8"/>
  <c r="V51" i="8"/>
  <c r="V46" i="8"/>
  <c r="U44" i="8"/>
  <c r="V45" i="8" s="1"/>
  <c r="U41" i="8"/>
  <c r="U43" i="8"/>
  <c r="T39" i="8"/>
  <c r="U37" i="8"/>
  <c r="U34" i="8"/>
  <c r="U33" i="8"/>
  <c r="T31" i="8"/>
  <c r="U29" i="8"/>
  <c r="U26" i="8"/>
  <c r="U25" i="8"/>
  <c r="U28" i="8"/>
  <c r="V27" i="8" s="1"/>
  <c r="T18" i="8"/>
  <c r="T17" i="8"/>
  <c r="T20" i="8"/>
  <c r="U19" i="8" s="1"/>
  <c r="T21" i="8"/>
  <c r="S23" i="8"/>
  <c r="V193" i="8" l="1"/>
  <c r="V189" i="8"/>
  <c r="U207" i="8"/>
  <c r="V195" i="8"/>
  <c r="W197" i="8" s="1"/>
  <c r="V188" i="8"/>
  <c r="W193" i="8" s="1"/>
  <c r="W203" i="8"/>
  <c r="X183" i="8" s="1"/>
  <c r="W202" i="8"/>
  <c r="V196" i="8"/>
  <c r="V190" i="8"/>
  <c r="W192" i="8" s="1"/>
  <c r="X181" i="8" s="1"/>
  <c r="V186" i="8"/>
  <c r="V191" i="8"/>
  <c r="V187" i="8"/>
  <c r="V185" i="8"/>
  <c r="V203" i="8"/>
  <c r="W183" i="8" s="1"/>
  <c r="V197" i="8"/>
  <c r="W189" i="8"/>
  <c r="W204" i="8"/>
  <c r="X205" i="8" s="1"/>
  <c r="Y184" i="8" s="1"/>
  <c r="V174" i="8"/>
  <c r="U178" i="8"/>
  <c r="V173" i="8"/>
  <c r="V178" i="8" s="1"/>
  <c r="V176" i="8"/>
  <c r="W158" i="8"/>
  <c r="W149" i="8"/>
  <c r="V153" i="8"/>
  <c r="W151" i="8" s="1"/>
  <c r="W148" i="8"/>
  <c r="V161" i="8"/>
  <c r="W163" i="8" s="1"/>
  <c r="X162" i="8" s="1"/>
  <c r="V150" i="8"/>
  <c r="V158" i="8"/>
  <c r="U168" i="8"/>
  <c r="V166" i="8"/>
  <c r="V164" i="8"/>
  <c r="W160" i="8" s="1"/>
  <c r="V160" i="8"/>
  <c r="V148" i="8"/>
  <c r="V156" i="8"/>
  <c r="V155" i="8"/>
  <c r="V149" i="8"/>
  <c r="V151" i="8"/>
  <c r="W153" i="8" s="1"/>
  <c r="V138" i="8"/>
  <c r="W140" i="8" s="1"/>
  <c r="V127" i="8"/>
  <c r="V135" i="8"/>
  <c r="U145" i="8"/>
  <c r="V129" i="8"/>
  <c r="V136" i="8"/>
  <c r="W135" i="8"/>
  <c r="X137" i="8"/>
  <c r="X125" i="8"/>
  <c r="V130" i="8"/>
  <c r="W131" i="8" s="1"/>
  <c r="X134" i="8" s="1"/>
  <c r="V133" i="8"/>
  <c r="V132" i="8"/>
  <c r="V131" i="8"/>
  <c r="W134" i="8" s="1"/>
  <c r="X139" i="8" s="1"/>
  <c r="V128" i="8"/>
  <c r="W130" i="8" s="1"/>
  <c r="W114" i="8"/>
  <c r="W102" i="8"/>
  <c r="V112" i="8"/>
  <c r="U122" i="8"/>
  <c r="W105" i="8"/>
  <c r="W103" i="8"/>
  <c r="W106" i="8"/>
  <c r="W107" i="8"/>
  <c r="V110" i="8"/>
  <c r="V109" i="8"/>
  <c r="W112" i="8"/>
  <c r="V114" i="8"/>
  <c r="V102" i="8"/>
  <c r="W113" i="8" s="1"/>
  <c r="V115" i="8"/>
  <c r="W117" i="8" s="1"/>
  <c r="X116" i="8" s="1"/>
  <c r="V104" i="8"/>
  <c r="V91" i="8"/>
  <c r="V79" i="8"/>
  <c r="V82" i="8"/>
  <c r="V80" i="8"/>
  <c r="W83" i="8" s="1"/>
  <c r="V92" i="8"/>
  <c r="W94" i="8" s="1"/>
  <c r="V81" i="8"/>
  <c r="V85" i="8"/>
  <c r="W88" i="8" s="1"/>
  <c r="X93" i="8" s="1"/>
  <c r="X90" i="8"/>
  <c r="V89" i="8"/>
  <c r="U99" i="8"/>
  <c r="X97" i="8"/>
  <c r="X95" i="8"/>
  <c r="V87" i="8"/>
  <c r="V86" i="8"/>
  <c r="V99" i="8"/>
  <c r="W89" i="8"/>
  <c r="W93" i="8"/>
  <c r="V84" i="8"/>
  <c r="V69" i="8"/>
  <c r="V70" i="8"/>
  <c r="V72" i="8"/>
  <c r="U76" i="8"/>
  <c r="V73" i="8"/>
  <c r="V57" i="8"/>
  <c r="V58" i="8"/>
  <c r="V55" i="8"/>
  <c r="U58" i="8"/>
  <c r="V59" i="8" s="1"/>
  <c r="U55" i="8"/>
  <c r="U57" i="8"/>
  <c r="T67" i="8"/>
  <c r="U53" i="8"/>
  <c r="V42" i="8"/>
  <c r="V41" i="8"/>
  <c r="V43" i="8"/>
  <c r="V44" i="8"/>
  <c r="V34" i="8"/>
  <c r="V33" i="8"/>
  <c r="V36" i="8"/>
  <c r="U39" i="8"/>
  <c r="V37" i="8"/>
  <c r="V25" i="8"/>
  <c r="V26" i="8"/>
  <c r="V29" i="8"/>
  <c r="U31" i="8"/>
  <c r="V28" i="8"/>
  <c r="V20" i="8"/>
  <c r="U18" i="8"/>
  <c r="U17" i="8"/>
  <c r="U20" i="8"/>
  <c r="V19" i="8" s="1"/>
  <c r="T23" i="8"/>
  <c r="U21" i="8"/>
  <c r="W191" i="8" l="1"/>
  <c r="W187" i="8"/>
  <c r="W185" i="8"/>
  <c r="W199" i="8"/>
  <c r="X182" i="8" s="1"/>
  <c r="X194" i="8"/>
  <c r="X180" i="8"/>
  <c r="W196" i="8"/>
  <c r="W190" i="8"/>
  <c r="W186" i="8"/>
  <c r="X199" i="8"/>
  <c r="Y182" i="8" s="1"/>
  <c r="V207" i="8"/>
  <c r="W195" i="8"/>
  <c r="X197" i="8" s="1"/>
  <c r="W188" i="8"/>
  <c r="W194" i="8"/>
  <c r="W180" i="8"/>
  <c r="X201" i="8"/>
  <c r="Y204" i="8" s="1"/>
  <c r="X200" i="8"/>
  <c r="X198" i="8"/>
  <c r="Y202" i="8" s="1"/>
  <c r="Z205" i="8" s="1"/>
  <c r="AA184" i="8" s="1"/>
  <c r="W201" i="8"/>
  <c r="X204" i="8" s="1"/>
  <c r="W200" i="8"/>
  <c r="W198" i="8"/>
  <c r="X202" i="8" s="1"/>
  <c r="X166" i="8"/>
  <c r="X164" i="8"/>
  <c r="X159" i="8"/>
  <c r="W161" i="8"/>
  <c r="X163" i="8" s="1"/>
  <c r="W150" i="8"/>
  <c r="W156" i="8"/>
  <c r="W155" i="8"/>
  <c r="W154" i="8"/>
  <c r="X157" i="8" s="1"/>
  <c r="Y162" i="8" s="1"/>
  <c r="V168" i="8"/>
  <c r="X152" i="8"/>
  <c r="W152" i="8"/>
  <c r="W159" i="8"/>
  <c r="W166" i="8"/>
  <c r="W164" i="8"/>
  <c r="W165" i="8"/>
  <c r="W147" i="8"/>
  <c r="X165" i="8"/>
  <c r="X147" i="8"/>
  <c r="W129" i="8"/>
  <c r="V145" i="8"/>
  <c r="W142" i="8"/>
  <c r="W124" i="8"/>
  <c r="W138" i="8"/>
  <c r="X140" i="8" s="1"/>
  <c r="Y139" i="8" s="1"/>
  <c r="W127" i="8"/>
  <c r="W137" i="8"/>
  <c r="W125" i="8"/>
  <c r="W133" i="8"/>
  <c r="W132" i="8"/>
  <c r="X142" i="8"/>
  <c r="X124" i="8"/>
  <c r="Y143" i="8"/>
  <c r="Y141" i="8"/>
  <c r="W128" i="8"/>
  <c r="W126" i="8"/>
  <c r="X129" i="8" s="1"/>
  <c r="W110" i="8"/>
  <c r="W109" i="8"/>
  <c r="X119" i="8"/>
  <c r="X101" i="8"/>
  <c r="X120" i="8"/>
  <c r="X118" i="8"/>
  <c r="V122" i="8"/>
  <c r="X102" i="8"/>
  <c r="W115" i="8"/>
  <c r="X117" i="8" s="1"/>
  <c r="W104" i="8"/>
  <c r="X105" i="8"/>
  <c r="X103" i="8"/>
  <c r="W119" i="8"/>
  <c r="W101" i="8"/>
  <c r="W120" i="8"/>
  <c r="X114" i="8" s="1"/>
  <c r="W118" i="8"/>
  <c r="X106" i="8"/>
  <c r="X113" i="8"/>
  <c r="W108" i="8"/>
  <c r="X111" i="8" s="1"/>
  <c r="Y116" i="8" s="1"/>
  <c r="W85" i="8"/>
  <c r="X88" i="8" s="1"/>
  <c r="Y93" i="8" s="1"/>
  <c r="W82" i="8"/>
  <c r="W92" i="8"/>
  <c r="X94" i="8" s="1"/>
  <c r="W81" i="8"/>
  <c r="W84" i="8"/>
  <c r="X85" i="8" s="1"/>
  <c r="Y88" i="8" s="1"/>
  <c r="W87" i="8"/>
  <c r="W86" i="8"/>
  <c r="W90" i="8"/>
  <c r="Y91" i="8"/>
  <c r="Y79" i="8"/>
  <c r="X96" i="8"/>
  <c r="X78" i="8"/>
  <c r="W96" i="8"/>
  <c r="W78" i="8"/>
  <c r="W97" i="8"/>
  <c r="W95" i="8"/>
  <c r="V76" i="8"/>
  <c r="U67" i="8"/>
  <c r="V56" i="8"/>
  <c r="V67" i="8" s="1"/>
  <c r="V53" i="8"/>
  <c r="V39" i="8"/>
  <c r="V31" i="8"/>
  <c r="U23" i="8"/>
  <c r="V21" i="8"/>
  <c r="V17" i="8"/>
  <c r="V18" i="8"/>
  <c r="X203" i="8" l="1"/>
  <c r="Y183" i="8" s="1"/>
  <c r="X196" i="8"/>
  <c r="X190" i="8"/>
  <c r="X186" i="8"/>
  <c r="X191" i="8"/>
  <c r="X187" i="8"/>
  <c r="X185" i="8"/>
  <c r="W207" i="8"/>
  <c r="X189" i="8"/>
  <c r="Y199" i="8"/>
  <c r="Z182" i="8" s="1"/>
  <c r="Y205" i="8"/>
  <c r="Z184" i="8" s="1"/>
  <c r="X193" i="8"/>
  <c r="X192" i="8"/>
  <c r="Y181" i="8" s="1"/>
  <c r="Y203" i="8"/>
  <c r="Z183" i="8" s="1"/>
  <c r="Y189" i="8"/>
  <c r="X195" i="8"/>
  <c r="Y197" i="8" s="1"/>
  <c r="X188" i="8"/>
  <c r="W168" i="8"/>
  <c r="X158" i="8"/>
  <c r="X148" i="8"/>
  <c r="X160" i="8"/>
  <c r="X151" i="8"/>
  <c r="Y153" i="8" s="1"/>
  <c r="X149" i="8"/>
  <c r="X153" i="8"/>
  <c r="Y158" i="8"/>
  <c r="Y149" i="8"/>
  <c r="X161" i="8"/>
  <c r="Y163" i="8" s="1"/>
  <c r="X150" i="8"/>
  <c r="Y160" i="8"/>
  <c r="Y148" i="8"/>
  <c r="Z159" i="8" s="1"/>
  <c r="X154" i="8"/>
  <c r="Y157" i="8" s="1"/>
  <c r="Z162" i="8" s="1"/>
  <c r="X155" i="8"/>
  <c r="X156" i="8"/>
  <c r="Y135" i="8"/>
  <c r="X145" i="8"/>
  <c r="X138" i="8"/>
  <c r="Y140" i="8" s="1"/>
  <c r="X127" i="8"/>
  <c r="X130" i="8"/>
  <c r="Y131" i="8" s="1"/>
  <c r="Z134" i="8" s="1"/>
  <c r="X136" i="8"/>
  <c r="X133" i="8"/>
  <c r="X132" i="8"/>
  <c r="X131" i="8"/>
  <c r="Y134" i="8" s="1"/>
  <c r="Z139" i="8" s="1"/>
  <c r="X143" i="8"/>
  <c r="X141" i="8"/>
  <c r="W145" i="8"/>
  <c r="X135" i="8"/>
  <c r="X128" i="8"/>
  <c r="Y130" i="8" s="1"/>
  <c r="X126" i="8"/>
  <c r="Y120" i="8"/>
  <c r="Y118" i="8"/>
  <c r="Y114" i="8"/>
  <c r="Y102" i="8"/>
  <c r="W122" i="8"/>
  <c r="X112" i="8"/>
  <c r="X110" i="8"/>
  <c r="X109" i="8"/>
  <c r="Y105" i="8"/>
  <c r="Y103" i="8"/>
  <c r="Y112" i="8"/>
  <c r="Y106" i="8"/>
  <c r="Y113" i="8"/>
  <c r="X107" i="8"/>
  <c r="Y108" i="8" s="1"/>
  <c r="Z111" i="8" s="1"/>
  <c r="X115" i="8"/>
  <c r="Y117" i="8" s="1"/>
  <c r="X104" i="8"/>
  <c r="X122" i="8" s="1"/>
  <c r="X108" i="8"/>
  <c r="Y111" i="8" s="1"/>
  <c r="Z97" i="8"/>
  <c r="Z95" i="8"/>
  <c r="W99" i="8"/>
  <c r="X89" i="8"/>
  <c r="X84" i="8"/>
  <c r="X83" i="8"/>
  <c r="Y89" i="8"/>
  <c r="X91" i="8"/>
  <c r="X79" i="8"/>
  <c r="Y90" i="8" s="1"/>
  <c r="X87" i="8"/>
  <c r="X86" i="8"/>
  <c r="X80" i="8"/>
  <c r="X92" i="8"/>
  <c r="Y94" i="8" s="1"/>
  <c r="Z93" i="8" s="1"/>
  <c r="X81" i="8"/>
  <c r="X82" i="8"/>
  <c r="V23" i="8"/>
  <c r="Y193" i="8" l="1"/>
  <c r="Y192" i="8"/>
  <c r="Z181" i="8" s="1"/>
  <c r="Y195" i="8"/>
  <c r="Z197" i="8" s="1"/>
  <c r="Y188" i="8"/>
  <c r="Y194" i="8"/>
  <c r="Y180" i="8"/>
  <c r="Z199" i="8"/>
  <c r="AA182" i="8" s="1"/>
  <c r="X207" i="8"/>
  <c r="Y201" i="8"/>
  <c r="Z204" i="8" s="1"/>
  <c r="AA205" i="8" s="1"/>
  <c r="Y200" i="8"/>
  <c r="Y198" i="8"/>
  <c r="Z202" i="8" s="1"/>
  <c r="Z194" i="8"/>
  <c r="Z180" i="8"/>
  <c r="Y196" i="8"/>
  <c r="Y190" i="8"/>
  <c r="Z192" i="8" s="1"/>
  <c r="AA181" i="8" s="1"/>
  <c r="Y186" i="8"/>
  <c r="AA203" i="8"/>
  <c r="Y191" i="8"/>
  <c r="Y187" i="8"/>
  <c r="Y185" i="8"/>
  <c r="Z203" i="8"/>
  <c r="AA183" i="8" s="1"/>
  <c r="Y161" i="8"/>
  <c r="Z163" i="8" s="1"/>
  <c r="Y150" i="8"/>
  <c r="Y156" i="8"/>
  <c r="Y155" i="8"/>
  <c r="X168" i="8"/>
  <c r="Z165" i="8"/>
  <c r="Z147" i="8"/>
  <c r="AA148" i="8"/>
  <c r="Z152" i="8"/>
  <c r="Y154" i="8"/>
  <c r="Z157" i="8" s="1"/>
  <c r="Y159" i="8"/>
  <c r="Y166" i="8"/>
  <c r="Y164" i="8"/>
  <c r="Z166" i="8"/>
  <c r="Z164" i="8"/>
  <c r="AA160" i="8" s="1"/>
  <c r="Y151" i="8"/>
  <c r="Y152" i="8"/>
  <c r="Y165" i="8"/>
  <c r="Y147" i="8"/>
  <c r="Y137" i="8"/>
  <c r="Y125" i="8"/>
  <c r="Z142" i="8"/>
  <c r="Z124" i="8"/>
  <c r="Y138" i="8"/>
  <c r="Z140" i="8" s="1"/>
  <c r="AA139" i="8" s="1"/>
  <c r="Y127" i="8"/>
  <c r="Y133" i="8"/>
  <c r="Y132" i="8"/>
  <c r="Y126" i="8"/>
  <c r="Z131" i="8"/>
  <c r="AA134" i="8" s="1"/>
  <c r="Y142" i="8"/>
  <c r="Y124" i="8"/>
  <c r="Y129" i="8"/>
  <c r="Y136" i="8"/>
  <c r="Y128" i="8"/>
  <c r="Z130" i="8" s="1"/>
  <c r="Y115" i="8"/>
  <c r="Z117" i="8" s="1"/>
  <c r="AA116" i="8" s="1"/>
  <c r="Y104" i="8"/>
  <c r="Z113" i="8"/>
  <c r="Z103" i="8"/>
  <c r="Z116" i="8"/>
  <c r="Y107" i="8"/>
  <c r="Z119" i="8"/>
  <c r="Z101" i="8"/>
  <c r="Z120" i="8"/>
  <c r="Z118" i="8"/>
  <c r="Y110" i="8"/>
  <c r="Z107" i="8" s="1"/>
  <c r="Y109" i="8"/>
  <c r="Z114" i="8"/>
  <c r="Z102" i="8"/>
  <c r="Z106" i="8"/>
  <c r="Y119" i="8"/>
  <c r="Y101" i="8"/>
  <c r="Y96" i="8"/>
  <c r="Y78" i="8"/>
  <c r="Z79" i="8"/>
  <c r="Y83" i="8"/>
  <c r="Y97" i="8"/>
  <c r="Y95" i="8"/>
  <c r="Z91" i="8" s="1"/>
  <c r="Y85" i="8"/>
  <c r="Z88" i="8" s="1"/>
  <c r="Z96" i="8"/>
  <c r="Z78" i="8"/>
  <c r="Y82" i="8"/>
  <c r="Y80" i="8"/>
  <c r="Y84" i="8"/>
  <c r="Y87" i="8"/>
  <c r="Y86" i="8"/>
  <c r="Y92" i="8"/>
  <c r="Z94" i="8" s="1"/>
  <c r="Y81" i="8"/>
  <c r="X99" i="8"/>
  <c r="N3" i="8"/>
  <c r="M3" i="8"/>
  <c r="L13" i="8"/>
  <c r="L12" i="8"/>
  <c r="L11" i="8"/>
  <c r="L10" i="8"/>
  <c r="L9" i="8"/>
  <c r="L8" i="8"/>
  <c r="L7" i="8"/>
  <c r="M13" i="8" s="1"/>
  <c r="L6" i="8"/>
  <c r="M12" i="8" s="1"/>
  <c r="L5" i="8"/>
  <c r="M9" i="8" s="1"/>
  <c r="L4" i="8"/>
  <c r="M10" i="8" s="1"/>
  <c r="L3" i="8"/>
  <c r="Z189" i="8" l="1"/>
  <c r="Y207" i="8"/>
  <c r="Z196" i="8"/>
  <c r="Z190" i="8"/>
  <c r="Z186" i="8"/>
  <c r="Z191" i="8"/>
  <c r="Z187" i="8"/>
  <c r="Z185" i="8"/>
  <c r="Z195" i="8"/>
  <c r="AA197" i="8" s="1"/>
  <c r="Z188" i="8"/>
  <c r="Z193" i="8"/>
  <c r="Z201" i="8"/>
  <c r="AA204" i="8" s="1"/>
  <c r="Z200" i="8"/>
  <c r="Z198" i="8"/>
  <c r="AA202" i="8" s="1"/>
  <c r="AA162" i="8"/>
  <c r="AA158" i="8"/>
  <c r="Z151" i="8"/>
  <c r="Z149" i="8"/>
  <c r="AA152" i="8" s="1"/>
  <c r="AA149" i="8"/>
  <c r="Z158" i="8"/>
  <c r="Y168" i="8"/>
  <c r="Z160" i="8"/>
  <c r="Z148" i="8"/>
  <c r="Z161" i="8"/>
  <c r="AA163" i="8" s="1"/>
  <c r="Z150" i="8"/>
  <c r="Z153" i="8"/>
  <c r="Z154" i="8"/>
  <c r="AA157" i="8" s="1"/>
  <c r="Z155" i="8"/>
  <c r="Z156" i="8"/>
  <c r="Z137" i="8"/>
  <c r="Z125" i="8"/>
  <c r="AA136" i="8" s="1"/>
  <c r="Z133" i="8"/>
  <c r="Z132" i="8"/>
  <c r="Z129" i="8"/>
  <c r="Z136" i="8"/>
  <c r="Z128" i="8"/>
  <c r="AA130" i="8" s="1"/>
  <c r="Z126" i="8"/>
  <c r="Z135" i="8"/>
  <c r="Y145" i="8"/>
  <c r="Z138" i="8"/>
  <c r="AA140" i="8" s="1"/>
  <c r="Z127" i="8"/>
  <c r="AA135" i="8"/>
  <c r="Z143" i="8"/>
  <c r="Z141" i="8"/>
  <c r="Z112" i="8"/>
  <c r="Y122" i="8"/>
  <c r="AA120" i="8"/>
  <c r="AA118" i="8"/>
  <c r="Z108" i="8"/>
  <c r="AA111" i="8" s="1"/>
  <c r="AA114" i="8"/>
  <c r="AA102" i="8"/>
  <c r="Z115" i="8"/>
  <c r="AA117" i="8" s="1"/>
  <c r="Z104" i="8"/>
  <c r="Z110" i="8"/>
  <c r="Z109" i="8"/>
  <c r="AA105" i="8"/>
  <c r="AA103" i="8"/>
  <c r="Z122" i="8"/>
  <c r="AA112" i="8"/>
  <c r="AA113" i="8"/>
  <c r="Z105" i="8"/>
  <c r="AA107" i="8" s="1"/>
  <c r="AA97" i="8"/>
  <c r="AA95" i="8"/>
  <c r="AA93" i="8"/>
  <c r="Z92" i="8"/>
  <c r="AA94" i="8" s="1"/>
  <c r="Z81" i="8"/>
  <c r="Z84" i="8"/>
  <c r="AA89" i="8"/>
  <c r="Z89" i="8"/>
  <c r="Y99" i="8"/>
  <c r="Z83" i="8"/>
  <c r="Z90" i="8"/>
  <c r="Z87" i="8"/>
  <c r="Z86" i="8"/>
  <c r="Z85" i="8"/>
  <c r="AA88" i="8" s="1"/>
  <c r="Z82" i="8"/>
  <c r="Z80" i="8"/>
  <c r="AA83" i="8" s="1"/>
  <c r="M4" i="8"/>
  <c r="N10" i="8" s="1"/>
  <c r="N11" i="8"/>
  <c r="M5" i="8"/>
  <c r="M7" i="8"/>
  <c r="N13" i="8" s="1"/>
  <c r="M11" i="8"/>
  <c r="M6" i="8"/>
  <c r="N4" i="8" s="1"/>
  <c r="M8" i="8"/>
  <c r="N6" i="8" s="1"/>
  <c r="AA193" i="8" l="1"/>
  <c r="AA196" i="8"/>
  <c r="AA186" i="8"/>
  <c r="AA190" i="8"/>
  <c r="AA188" i="8"/>
  <c r="AA195" i="8"/>
  <c r="AA200" i="8"/>
  <c r="AA201" i="8"/>
  <c r="AA198" i="8"/>
  <c r="AA189" i="8"/>
  <c r="AA192" i="8"/>
  <c r="Z207" i="8"/>
  <c r="AA185" i="8"/>
  <c r="AA191" i="8"/>
  <c r="AA187" i="8"/>
  <c r="AA194" i="8"/>
  <c r="AA180" i="8"/>
  <c r="AA199" i="8"/>
  <c r="AA156" i="8"/>
  <c r="AA155" i="8"/>
  <c r="AA165" i="8"/>
  <c r="AA147" i="8"/>
  <c r="AA159" i="8"/>
  <c r="AA161" i="8"/>
  <c r="AA150" i="8"/>
  <c r="AA153" i="8"/>
  <c r="AA154" i="8"/>
  <c r="AA166" i="8"/>
  <c r="AA164" i="8"/>
  <c r="AA151" i="8"/>
  <c r="Z168" i="8"/>
  <c r="AA137" i="8"/>
  <c r="AA125" i="8"/>
  <c r="Z145" i="8"/>
  <c r="AA142" i="8"/>
  <c r="AA124" i="8"/>
  <c r="AA128" i="8"/>
  <c r="AA126" i="8"/>
  <c r="AA143" i="8"/>
  <c r="AA141" i="8"/>
  <c r="AA133" i="8"/>
  <c r="AA132" i="8"/>
  <c r="AA129" i="8"/>
  <c r="AA138" i="8"/>
  <c r="AA127" i="8"/>
  <c r="AA131" i="8"/>
  <c r="AA115" i="8"/>
  <c r="AA104" i="8"/>
  <c r="AA110" i="8"/>
  <c r="AA109" i="8"/>
  <c r="AA119" i="8"/>
  <c r="AA101" i="8"/>
  <c r="AA106" i="8"/>
  <c r="AA108" i="8"/>
  <c r="AA92" i="8"/>
  <c r="AA81" i="8"/>
  <c r="AA82" i="8"/>
  <c r="AA80" i="8"/>
  <c r="Z99" i="8"/>
  <c r="AA85" i="8"/>
  <c r="AA91" i="8"/>
  <c r="AA79" i="8"/>
  <c r="AA84" i="8"/>
  <c r="AA90" i="8"/>
  <c r="AA96" i="8"/>
  <c r="AA78" i="8"/>
  <c r="AA87" i="8"/>
  <c r="AA86" i="8"/>
  <c r="N5" i="8"/>
  <c r="O9" i="8" s="1"/>
  <c r="M15" i="8"/>
  <c r="O12" i="8"/>
  <c r="O10" i="8"/>
  <c r="O3" i="8"/>
  <c r="N12" i="8"/>
  <c r="N8" i="8"/>
  <c r="O7" i="8"/>
  <c r="P13" i="8" s="1"/>
  <c r="N9" i="8"/>
  <c r="N7" i="8"/>
  <c r="O13" i="8" s="1"/>
  <c r="AA207" i="8" l="1"/>
  <c r="AA168" i="8"/>
  <c r="AA145" i="8"/>
  <c r="AA122" i="8"/>
  <c r="AA99" i="8"/>
  <c r="O6" i="8"/>
  <c r="P8" i="8" s="1"/>
  <c r="P12" i="8"/>
  <c r="O8" i="8"/>
  <c r="N15" i="8"/>
  <c r="O4" i="8"/>
  <c r="O11" i="8"/>
  <c r="O5" i="8"/>
  <c r="P11" i="8"/>
  <c r="P5" i="8"/>
  <c r="P4" i="8"/>
  <c r="O15" i="8" l="1"/>
  <c r="Q10" i="8"/>
  <c r="Q6" i="8"/>
  <c r="Q3" i="8"/>
  <c r="Q9" i="8"/>
  <c r="Q7" i="8"/>
  <c r="R13" i="8" s="1"/>
  <c r="P9" i="8"/>
  <c r="P7" i="8"/>
  <c r="Q13" i="8" s="1"/>
  <c r="P3" i="8"/>
  <c r="P10" i="8"/>
  <c r="P6" i="8"/>
  <c r="Q12" i="8" l="1"/>
  <c r="Q8" i="8"/>
  <c r="R12" i="8"/>
  <c r="R8" i="8"/>
  <c r="P15" i="8"/>
  <c r="Q4" i="8"/>
  <c r="Q11" i="8"/>
  <c r="Q5" i="8"/>
  <c r="R11" i="8"/>
  <c r="R5" i="8"/>
  <c r="R4" i="8"/>
  <c r="Q15" i="8" l="1"/>
  <c r="S10" i="8"/>
  <c r="S6" i="8"/>
  <c r="S3" i="8"/>
  <c r="S9" i="8"/>
  <c r="S7" i="8"/>
  <c r="T13" i="8" s="1"/>
  <c r="R9" i="8"/>
  <c r="R7" i="8"/>
  <c r="S13" i="8" s="1"/>
  <c r="R3" i="8"/>
  <c r="R10" i="8"/>
  <c r="R6" i="8"/>
  <c r="T12" i="8" l="1"/>
  <c r="T8" i="8"/>
  <c r="S12" i="8"/>
  <c r="S8" i="8"/>
  <c r="R15" i="8"/>
  <c r="S4" i="8"/>
  <c r="S11" i="8"/>
  <c r="S5" i="8"/>
  <c r="S15" i="8" s="1"/>
  <c r="T11" i="8"/>
  <c r="T5" i="8"/>
  <c r="T4" i="8"/>
  <c r="U10" i="8" l="1"/>
  <c r="U6" i="8"/>
  <c r="U3" i="8"/>
  <c r="U9" i="8"/>
  <c r="U7" i="8"/>
  <c r="V13" i="8" s="1"/>
  <c r="T9" i="8"/>
  <c r="T7" i="8"/>
  <c r="U13" i="8" s="1"/>
  <c r="T3" i="8"/>
  <c r="T10" i="8"/>
  <c r="T6" i="8"/>
  <c r="U12" i="8" l="1"/>
  <c r="U8" i="8"/>
  <c r="V12" i="8"/>
  <c r="V8" i="8"/>
  <c r="T15" i="8"/>
  <c r="U4" i="8"/>
  <c r="U11" i="8"/>
  <c r="U5" i="8"/>
  <c r="U15" i="8" s="1"/>
  <c r="V11" i="8"/>
  <c r="V5" i="8"/>
  <c r="V4" i="8"/>
  <c r="V9" i="8" l="1"/>
  <c r="V7" i="8"/>
  <c r="V3" i="8"/>
  <c r="V10" i="8"/>
  <c r="V6" i="8"/>
  <c r="V15" i="8" l="1"/>
</calcChain>
</file>

<file path=xl/connections.xml><?xml version="1.0" encoding="utf-8"?>
<connections xmlns="http://schemas.openxmlformats.org/spreadsheetml/2006/main">
  <connection id="1" name="1" type="6" refreshedVersion="4" background="1" saveData="1">
    <textPr prompt="0" codePage="437" sourceFile="E:\Vital\ITresearch\Morgan\Error 1\1.mol2" space="1" consecutive="1">
      <textFields count="5">
        <textField/>
        <textField/>
        <textField/>
        <textField/>
        <textField/>
      </textFields>
    </textPr>
  </connection>
  <connection id="2" name="1_2_Max_Min" type="6" refreshedVersion="3" background="1">
    <textPr prompt="0" codePage="437" sourceFile="1_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_2_Max_Min1" type="6" refreshedVersion="3" background="1">
    <textPr prompt="0" codePage="437" sourceFile="1_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_56_Max_Min" type="6" refreshedVersion="4" background="1">
    <textPr prompt="0" codePage="437" sourceFile="1_5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_683_1_morga" type="6" refreshedVersion="4" background="1" saveData="1">
    <textPr codePage="437" sourceFile="E:\vitals\IT_developments\Excels\matrix\coVar\1_683_1_morga.csv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_683_1_morga1" type="6" refreshedVersion="4" background="1">
    <textPr codePage="437" sourceFile="E:\vitals\IT_developments\Excels\matrix\coVar\1_683_1_morga.csv">
      <textFields>
        <textField/>
      </textFields>
    </textPr>
  </connection>
  <connection id="7" name="1_683_1_morga2" type="6" refreshedVersion="4" background="1" saveData="1">
    <textPr codePage="437" sourceFile="E:\vitals\IT_developments\Excels\matrix\coVar\1_683_1_morga.csv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_683_1_morga3" type="6" refreshedVersion="4" background="1">
    <textPr prompt="0" codePage="437" sourceFile="E:\vitals\IT_developments\Excels\matrix\coVar\1_683_1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_683_1_morga4" type="6" refreshedVersion="4" background="1">
    <textPr prompt="0" codePage="437" sourceFile="E:\vitals\IT_developments\Excels\matrix\coVar\1_683_1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_683_1_morga5" type="6" refreshedVersion="4" background="1">
    <textPr prompt="0" codePage="437" sourceFile="E:\vitals\IT_developments\Excels\matrix\coVar\matrixwithlabels\1_683_1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_683_1_morga6" type="6" refreshedVersion="4" background="1">
    <textPr prompt="0" codePage="437" sourceFile="E:\vitals\IT_developments\Excels\matrix\coVar\matrixwithlabels\1_683_1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_683_1_morga7" type="6" refreshedVersion="4" background="1" saveData="1">
    <textPr prompt="0" codePage="437" sourceFile="E:\vitals\IT_developments\Excels\matrix\coVar\matrixwithlabels\1_683_1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_683_1_morgan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_683_1_morgan_logp" type="6" refreshedVersion="4" background="1">
    <textPr prompt="0" codePage="437" sourceFile="E:\vitals\IT_developments\Excels\matrix\coVar\matrixwithlabels\test\1_683_1_morgan_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_683_1_morgan1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_683_1_morgan10" type="6" refreshedVersion="4" background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_683_1_morgan11" type="6" refreshedVersion="4" background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_683_1_morgan12" type="6" refreshedVersion="4" background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_683_1_morgan13" type="6" refreshedVersion="4" background="1">
    <textPr prompt="0" codePage="437" sourceFile="C:\Users\omkar.pawar\Desktop\Trail\New folder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_683_1_morgan14" type="6" refreshedVersion="4" background="1">
    <textPr prompt="0" codePage="437" sourceFile="E:\vitals\IT_developments\Excels\EVAN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_683_1_morgan15" type="6" refreshedVersion="4" background="1">
    <textPr prompt="0" codePage="437" sourceFile="E:\vitals\IT_developments\Excels\EVAN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_683_1_morgan16" type="6" refreshedVersion="4" background="1" saveData="1">
    <textPr prompt="0" codePage="437" sourceFile="E:\vitals\IT_developments\Excels\EVAN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_683_1_morgan17" type="6" refreshedVersion="4" background="1">
    <textPr prompt="0" codePage="437" sourceFile="E:\vitals\IT_developments\Excels\EVAN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_683_1_morgan18" type="6" refreshedVersion="4" background="1">
    <textPr prompt="0" codePage="437" sourceFile="E:\vitals\IT_developments\Excels\EVAN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_683_1_morgan2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_683_1_morgan3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_683_1_morgan4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_683_1_morgan5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_683_1_morgan6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_683_1_morgan7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_683_1_morgan8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_683_1_morgan9" type="6" refreshedVersion="4" background="1" saveData="1">
    <textPr prompt="0" codePage="437" sourceFile="E:\vitals\IT_developments\Excels\matrix\coVar\matrixwithlabels\1_683_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0_13_Max_Min" type="6" refreshedVersion="3" background="1">
    <textPr prompt="0" codePage="437" sourceFile="10_1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0_15_Max_Min" type="6" refreshedVersion="3" background="1">
    <textPr prompt="0" codePage="437" sourceFile="10_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0_1624_morgan" type="6" refreshedVersion="4" background="1">
    <textPr prompt="0" codePage="437" sourceFile="E:\vitals\IT_developments\Excels\EVANS\trouble\Identified\10_162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0_1624_morgan1" type="6" refreshedVersion="4" background="1">
    <textPr prompt="0" codePage="437" sourceFile="E:\vitals\IT_developments\Excels\EVANS\trouble\Identified\10_162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0_Max_Min" type="6" refreshedVersion="4" background="1">
    <textPr prompt="0" codePage="437" sourceFile="R:\WORK\labwrk\work\rework\trial_atomicprops\validn_atomicdiagfill\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0_Max_Min_algP" type="6" refreshedVersion="4" background="1">
    <textPr prompt="0" codePage="437" sourceFile="R:\WORK\labwrk\work\rework\trial_atomicprops\validn_atomicdiagfill\10_Max_Min_al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10_Max_Min1" type="6" refreshedVersion="4" background="1">
    <textPr prompt="0" codePage="437" sourceFile="R:\WORK\labwrk\work\rework\trial_atomicprops\validn_atomicdiagfill\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10_Max_Min2" type="6" refreshedVersion="4" background="1">
    <textPr prompt="0" codePage="437" sourceFile="F:\validn_atomicdiagfill\prob_algP\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10_Max_Min3" type="6" refreshedVersion="4" background="1">
    <textPr prompt="0" codePage="437" sourceFile="F:\validn_atomicdiagfill\prob_algP\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100_167_Max_Min" type="6" refreshedVersion="3" background="1">
    <textPr prompt="0" codePage="437" sourceFile="100_16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100_263_Max_Min" type="6" refreshedVersion="3" background="1">
    <textPr prompt="0" codePage="437" sourceFile="100_26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100_792_100_morgan" type="6" refreshedVersion="4" background="1">
    <textPr prompt="0" codePage="437" sourceFile="C:\Users\omkar.pawar\Desktop\Trail\New folder\100_792_10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100_Max_Min" type="6" refreshedVersion="3" background="1">
    <textPr prompt="0" codePage="437" sourceFile="10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100_Max_Min_ scld_MAXDN" type="6" refreshedVersion="3" background="1">
    <textPr prompt="0" codePage="437" sourceFile="100_Max_Min_ scld_MAXD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100_Max_Min_ scld_MLFER_S" type="6" refreshedVersion="3" background="1">
    <textPr prompt="0" codePage="437" sourceFile="100_Max_Min_ scld_MLFER_S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100_Max_Min_ scld_MLFER_S_ scld_AMW" type="6" refreshedVersion="3" background="1">
    <textPr prompt="0" codePage="437" sourceFile="100_Max_Min_ scld_MLFER_S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100_Max_Min_ scld_MLFER_S_ scld_AMW_ scld_ETA_Alpha" type="6" refreshedVersion="3" background="1">
    <textPr prompt="0" codePage="437" sourceFile="100_Max_Min_ scld_MLFER_S_ scld_AMW_ scld_ETA_Alph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100_Max_Min_ scld_MW" type="6" refreshedVersion="3" background="1">
    <textPr prompt="0" codePage="437" sourceFile="100_Max_Min_ scld_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100_Max_Min_ scld_VABC" type="6" refreshedVersion="3" background="1">
    <textPr prompt="0" codePage="437" sourceFile="100_Max_Min_ scld_VABC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100_Max_Min_ scld_VABC_ scld_VABC" type="6" refreshedVersion="3" background="1">
    <textPr prompt="0" codePage="437" sourceFile="100_Max_Min_ scld_VABC_ scld_VABC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100_Max_Min1" type="6" refreshedVersion="3" background="1">
    <textPr prompt="0" codePage="437" sourceFile="10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101_170_Max_Min" type="6" refreshedVersion="3" background="1">
    <textPr prompt="0" codePage="437" sourceFile="101_17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101_273_Max_Min" type="6" refreshedVersion="3" background="1">
    <textPr prompt="0" codePage="437" sourceFile="101_27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102_171_Max_Min" type="6" refreshedVersion="3" background="1">
    <textPr prompt="0" codePage="437" sourceFile="102_17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102_274_Max_Min" type="6" refreshedVersion="3" background="1">
    <textPr prompt="0" codePage="437" sourceFile="102_27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102_793_102_morgan" type="6" refreshedVersion="4" background="1">
    <textPr prompt="0" codePage="437" sourceFile="C:\Users\omkar.pawar\Desktop\Trail\New folder\102_793_10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103_172_Max_Min" type="6" refreshedVersion="3" background="1">
    <textPr prompt="0" codePage="437" sourceFile="103_17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103_275_Max_Min" type="6" refreshedVersion="3" background="1">
    <textPr prompt="0" codePage="437" sourceFile="103_27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103_795_103_morgan" type="6" refreshedVersion="4" background="1">
    <textPr prompt="0" codePage="437" sourceFile="C:\Users\omkar.pawar\Desktop\Trail\New folder\103_795_10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104_173_Max_Min" type="6" refreshedVersion="3" background="1">
    <textPr prompt="0" codePage="437" sourceFile="104_17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104_278_Max_Min" type="6" refreshedVersion="3" background="1">
    <textPr prompt="0" codePage="437" sourceFile="104_27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104_796_104_morgan" type="6" refreshedVersion="4" background="1">
    <textPr prompt="0" codePage="437" sourceFile="C:\Users\omkar.pawar\Desktop\Trail\New folder\104_796_10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105_174_Max_Min" type="6" refreshedVersion="3" background="1">
    <textPr prompt="0" codePage="437" sourceFile="105_17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105_279_Max_Min" type="6" refreshedVersion="3" background="1">
    <textPr prompt="0" codePage="437" sourceFile="105_27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106_176_Max_Min" type="6" refreshedVersion="3" background="1">
    <textPr prompt="0" codePage="437" sourceFile="106_17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106_280_Max_Min" type="6" refreshedVersion="3" background="1">
    <textPr prompt="0" codePage="437" sourceFile="106_28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106_798_106_morgan" type="6" refreshedVersion="4" background="1">
    <textPr prompt="0" codePage="437" sourceFile="C:\Users\omkar.pawar\Desktop\Trail\New folder\106_798_10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107_177_Max_Min" type="6" refreshedVersion="3" background="1">
    <textPr prompt="0" codePage="437" sourceFile="107_17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107_281_Max_Min" type="6" refreshedVersion="3" background="1">
    <textPr prompt="0" codePage="437" sourceFile="107_28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107_799_107_morgan" type="6" refreshedVersion="4" background="1">
    <textPr prompt="0" codePage="437" sourceFile="C:\Users\omkar.pawar\Desktop\Trail\New folder\107_799_10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108_179_Max_Min" type="6" refreshedVersion="3" background="1">
    <textPr prompt="0" codePage="437" sourceFile="108_17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108_282_Max_Min" type="6" refreshedVersion="3" background="1">
    <textPr prompt="0" codePage="437" sourceFile="108_28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108_800_108_morgan" type="6" refreshedVersion="4" background="1">
    <textPr prompt="0" codePage="437" sourceFile="C:\Users\omkar.pawar\Desktop\Trail\New folder\108_800_10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108_Max_Min" type="6" refreshedVersion="4" background="1">
    <textPr prompt="0" codePage="437" sourceFile="F:\validn_atomicdiagfill\prob_algP\10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108_Max_Min1" type="6" refreshedVersion="4" background="1">
    <textPr prompt="0" codePage="437" sourceFile="F:\validn_atomicdiagfill\prob_algP\10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109_182_Max_Min" type="6" refreshedVersion="3" background="1">
    <textPr prompt="0" codePage="437" sourceFile="109_18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109_802_109_morgan" type="6" refreshedVersion="4" background="1">
    <textPr prompt="0" codePage="437" sourceFile="C:\Users\omkar.pawar\Desktop\Trail\New folder\109_802_10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11" type="6" refreshedVersion="4" background="1" saveData="1">
    <textPr prompt="0" codePage="437" sourceFile="E:\Vital\ITresearch\Morgan\Error 1\1.mol2" space="1" consecutive="1">
      <textFields count="5">
        <textField/>
        <textField/>
        <textField/>
        <textField/>
        <textField/>
      </textFields>
    </textPr>
  </connection>
  <connection id="81" name="11_14_Max_Min" type="6" refreshedVersion="3" background="1">
    <textPr prompt="0" codePage="437" sourceFile="11_1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11_16_Max_Min" type="6" refreshedVersion="3" background="1">
    <textPr prompt="0" codePage="437" sourceFile="11_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110_183_Max_Min" type="6" refreshedVersion="3" background="1">
    <textPr prompt="0" codePage="437" sourceFile="110_18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110_Max_Min" type="6" refreshedVersion="3" background="1">
    <textPr prompt="0" codePage="437" sourceFile="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110_Max_Min_ scld_ETA_Beta" type="6" refreshedVersion="3" background="1">
    <textPr prompt="0" codePage="437" sourceFile="110_Max_Min_ scld_ETA_B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110_Max_Min_ scld_MLFER_E" type="6" refreshedVersion="3" background="1">
    <textPr prompt="0" codePage="437" sourceFile="110_Max_Min_ scld_MLFER_E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110_Max_Min_ scld_MLFER_E_ scld_sumI" type="6" refreshedVersion="3" background="1">
    <textPr prompt="0" codePage="437" sourceFile="110_Max_Min_ scld_MLFER_E_ scld_sum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110_Max_Min_ scld_MLFER_E_ scld_TopoPSA" type="6" refreshedVersion="3" background="1">
    <textPr prompt="0" codePage="437" sourceFile="110_Max_Min_ scld_MLFER_E_ scld_TopoPS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111_184_Max_Min" type="6" refreshedVersion="3" background="1">
    <textPr prompt="0" codePage="437" sourceFile="111_18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112_185_Max_Min" type="6" refreshedVersion="3" background="1">
    <textPr prompt="0" codePage="437" sourceFile="112_18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113_186_Max_Min" type="6" refreshedVersion="3" background="1">
    <textPr prompt="0" codePage="437" sourceFile="113_18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114_187_Max_Min" type="6" refreshedVersion="3" background="1">
    <textPr prompt="0" codePage="437" sourceFile="114_18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115_188_Max_Min" type="6" refreshedVersion="3" background="1">
    <textPr prompt="0" codePage="437" sourceFile="115_18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116_191_Max_Min" type="6" refreshedVersion="3" background="1">
    <textPr prompt="0" codePage="437" sourceFile="116_19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116_813_116_morgan" type="6" refreshedVersion="4" background="1">
    <textPr prompt="0" codePage="437" sourceFile="C:\Users\omkar.pawar\Desktop\Trail\New folder\116_813_11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117_192_Max_Min" type="6" refreshedVersion="3" background="1">
    <textPr prompt="0" codePage="437" sourceFile="117_19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117_816_117_morgan" type="6" refreshedVersion="4" background="1">
    <textPr prompt="0" codePage="437" sourceFile="C:\Users\omkar.pawar\Desktop\Trail\New folder\117_816_11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118_193_Max_Min" type="6" refreshedVersion="3" background="1">
    <textPr prompt="0" codePage="437" sourceFile="118_19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118_817_118_morgan" type="6" refreshedVersion="4" background="1">
    <textPr prompt="0" codePage="437" sourceFile="C:\Users\omkar.pawar\Desktop\Trail\New folder\118_817_11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119_195_Max_Min" type="6" refreshedVersion="3" background="1">
    <textPr prompt="0" codePage="437" sourceFile="119_19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119_818_119_morgan" type="6" refreshedVersion="4" background="1">
    <textPr prompt="0" codePage="437" sourceFile="C:\Users\omkar.pawar\Desktop\Trail\New folder\119_818_11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12" type="6" refreshedVersion="4" background="1">
    <textPr prompt="0" codePage="437" sourceFile="E:\Vital\ITresearch\Morgan\1.mol2" space="1" consecutive="1">
      <textFields count="5">
        <textField/>
        <textField/>
        <textField/>
        <textField/>
        <textField/>
      </textFields>
    </textPr>
  </connection>
  <connection id="103" name="12_15_Max_Min" type="6" refreshedVersion="3" background="1">
    <textPr prompt="0" codePage="437" sourceFile="12_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12_1625_morgan" type="6" refreshedVersion="4" background="1">
    <textPr prompt="0" codePage="437" sourceFile="E:\vitals\IT_developments\Excels\EVANS\trouble\Identified\12_162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12_18_Max_Min" type="6" refreshedVersion="3" background="1">
    <textPr prompt="0" codePage="437" sourceFile="12_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12_Max_Min" type="6" refreshedVersion="3" background="1">
    <textPr prompt="0" codePage="437" sourceFile="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120_196_Max_Min" type="6" refreshedVersion="3" background="1">
    <textPr prompt="0" codePage="437" sourceFile="120_19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121_198_Max_Min" type="6" refreshedVersion="3" background="1">
    <textPr prompt="0" codePage="437" sourceFile="121_19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122_204_Max_Min" type="6" refreshedVersion="3" background="1">
    <textPr prompt="0" codePage="437" sourceFile="122_20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123_205_Max_Min" type="6" refreshedVersion="3" background="1">
    <textPr prompt="0" codePage="437" sourceFile="123_20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124_206_Max_Min" type="6" refreshedVersion="3" background="1">
    <textPr prompt="0" codePage="437" sourceFile="124_20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125_207_Max_Min" type="6" refreshedVersion="3" background="1">
    <textPr prompt="0" codePage="437" sourceFile="125_20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126_208_Max_Min" type="6" refreshedVersion="3" background="1">
    <textPr prompt="0" codePage="437" sourceFile="126_20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127_209_Max_Min" type="6" refreshedVersion="3" background="1">
    <textPr prompt="0" codePage="437" sourceFile="127_20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128_210_Max_Min" type="6" refreshedVersion="3" background="1">
    <textPr prompt="0" codePage="437" sourceFile="128_2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129_212_Max_Min" type="6" refreshedVersion="3" background="1">
    <textPr prompt="0" codePage="437" sourceFile="129_2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13" type="6" refreshedVersion="4" background="1" saveData="1">
    <textPr prompt="0" codePage="437" sourceFile="E:\Vital\ITresearch\Morgan\Error 1\1.mol2" space="1" consecutive="1">
      <textFields count="5">
        <textField/>
        <textField/>
        <textField/>
        <textField/>
        <textField/>
      </textFields>
    </textPr>
  </connection>
  <connection id="118" name="13_16_Max_Min" type="6" refreshedVersion="3" background="1">
    <textPr prompt="0" codePage="437" sourceFile="13_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13_1627_morgan" type="6" refreshedVersion="4" background="1">
    <textPr prompt="0" codePage="437" sourceFile="E:\vitals\IT_developments\Excels\EVANS\trouble\Identified\13_162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13_1628_morgan" type="6" refreshedVersion="4" background="1">
    <textPr prompt="0" codePage="437" sourceFile="E:\vitals\IT_developments\Excels\EVANS\trouble\Identified\13_162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13_22_Max_Min" type="6" refreshedVersion="3" background="1">
    <textPr prompt="0" codePage="437" sourceFile="13_2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13_Max_Min" type="6" refreshedVersion="3" background="1">
    <textPr prompt="0" codePage="437" sourceFile="1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130_215_Max_Min" type="6" refreshedVersion="3" background="1">
    <textPr prompt="0" codePage="437" sourceFile="130_2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131_216_Max_Min" type="6" refreshedVersion="3" background="1">
    <textPr prompt="0" codePage="437" sourceFile="131_2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132_218_Max_Min" type="6" refreshedVersion="3" background="1">
    <textPr prompt="0" codePage="437" sourceFile="132_2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133_219_Max_Min" type="6" refreshedVersion="3" background="1">
    <textPr prompt="0" codePage="437" sourceFile="133_2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133_832_133_morgan" type="6" refreshedVersion="4" background="1">
    <textPr prompt="0" codePage="437" sourceFile="C:\Users\omkar.pawar\Desktop\Trail\New folder\133_832_13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134_220_Max_Min" type="6" refreshedVersion="3" background="1">
    <textPr prompt="0" codePage="437" sourceFile="134_22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134_833_134_morgan" type="6" refreshedVersion="4" background="1">
    <textPr prompt="0" codePage="437" sourceFile="C:\Users\omkar.pawar\Desktop\Trail\New folder\134_833_13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135_222_Max_Min" type="6" refreshedVersion="3" background="1">
    <textPr prompt="0" codePage="437" sourceFile="135_22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135_834_135_morgan" type="6" refreshedVersion="4" background="1">
    <textPr prompt="0" codePage="437" sourceFile="C:\Users\omkar.pawar\Desktop\Trail\New folder\135_834_13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136_223_Max_Min" type="6" refreshedVersion="3" background="1">
    <textPr prompt="0" codePage="437" sourceFile="136_22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136_835_136_morgan" type="6" refreshedVersion="4" background="1">
    <textPr prompt="0" codePage="437" sourceFile="C:\Users\omkar.pawar\Desktop\Trail\New folder\136_835_13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137_224_Max_Min" type="6" refreshedVersion="3" background="1">
    <textPr prompt="0" codePage="437" sourceFile="137_22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137_836_137_morgan" type="6" refreshedVersion="4" background="1">
    <textPr prompt="0" codePage="437" sourceFile="C:\Users\omkar.pawar\Desktop\Trail\New folder\137_836_13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138_226_Max_Min" type="6" refreshedVersion="3" background="1">
    <textPr prompt="0" codePage="437" sourceFile="138_22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138_R_R" type="6" refreshedVersion="4" background="1">
    <textPr prompt="0" codePage="437" sourceFile="E:\Vital\ITresearch\Morgan\Error 1\138_R_R.mol2" space="1" consecutive="1">
      <textFields count="5">
        <textField/>
        <textField/>
        <textField/>
        <textField/>
        <textField/>
      </textFields>
    </textPr>
  </connection>
  <connection id="138" name="138_R_R1" type="6" refreshedVersion="4" background="1">
    <textPr prompt="0" codePage="437" sourceFile="E:\Vital\ITresearch\Morgan\Error 1\138_R_R.mol2" space="1" consecutive="1">
      <textFields count="5">
        <textField/>
        <textField/>
        <textField/>
        <textField/>
        <textField/>
      </textFields>
    </textPr>
  </connection>
  <connection id="139" name="138_R_R2" type="6" refreshedVersion="4" background="1">
    <textPr prompt="0" codePage="437" sourceFile="E:\Vital\ITresearch\Morgan\Error 1\138_R_R.mol2" space="1" consecutive="1">
      <textFields count="5">
        <textField/>
        <textField/>
        <textField/>
        <textField/>
        <textField/>
      </textFields>
    </textPr>
  </connection>
  <connection id="140" name="138_R_R3" type="6" refreshedVersion="4" background="1" saveData="1">
    <textPr prompt="0" codePage="437" sourceFile="E:\Vital\ITresearch\Morgan\Error 1\138_R_R.mol2" space="1" consecutive="1">
      <textFields count="5">
        <textField/>
        <textField/>
        <textField/>
        <textField/>
        <textField/>
      </textFields>
    </textPr>
  </connection>
  <connection id="141" name="138_R_R31" type="6" refreshedVersion="4" background="1" saveData="1">
    <textPr prompt="0" codePage="437" sourceFile="E:\Vital\ITresearch\Morgan\Error 1\138_R_R.mol2" space="1" consecutive="1">
      <textFields count="5">
        <textField/>
        <textField/>
        <textField/>
        <textField/>
        <textField/>
      </textFields>
    </textPr>
  </connection>
  <connection id="142" name="138_R_R32" type="6" refreshedVersion="4" background="1" saveData="1">
    <textPr prompt="0" codePage="437" sourceFile="E:\Vital\ITresearch\Morgan\Error 1\138_R_R.mol2" space="1" consecutive="1">
      <textFields count="5">
        <textField/>
        <textField/>
        <textField/>
        <textField/>
        <textField/>
      </textFields>
    </textPr>
  </connection>
  <connection id="143" name="138_R_S" type="6" refreshedVersion="4" background="1" saveData="1">
    <textPr prompt="0" codePage="437" sourceFile="E:\Vital\ITresearch\Morgan\Error 1\138_R_S.mol2" space="1" consecutive="1">
      <textFields count="5">
        <textField/>
        <textField/>
        <textField/>
        <textField/>
        <textField/>
      </textFields>
    </textPr>
  </connection>
  <connection id="144" name="138_R_S1" type="6" refreshedVersion="4" background="1" saveData="1">
    <textPr prompt="0" codePage="437" sourceFile="E:\Vital\ITresearch\Morgan\Error 1\138_R_S.mol2" space="1" consecutive="1">
      <textFields count="5">
        <textField/>
        <textField/>
        <textField/>
        <textField/>
        <textField/>
      </textFields>
    </textPr>
  </connection>
  <connection id="145" name="138_R_S2" type="6" refreshedVersion="4" background="1" saveData="1">
    <textPr prompt="0" codePage="437" sourceFile="E:\Vital\ITresearch\Morgan\Error 1\138_R_S.mol2" space="1" consecutive="1">
      <textFields count="5">
        <textField/>
        <textField/>
        <textField/>
        <textField/>
        <textField/>
      </textFields>
    </textPr>
  </connection>
  <connection id="146" name="138_S_R" type="6" refreshedVersion="4" background="1" saveData="1">
    <textPr prompt="0" codePage="437" sourceFile="E:\Vital\ITresearch\Morgan\Error 1\138_S_R.mol2" space="1" consecutive="1">
      <textFields count="5">
        <textField/>
        <textField/>
        <textField/>
        <textField/>
        <textField/>
      </textFields>
    </textPr>
  </connection>
  <connection id="147" name="138_S_R1" type="6" refreshedVersion="4" background="1" saveData="1">
    <textPr prompt="0" codePage="437" sourceFile="E:\Vital\ITresearch\Morgan\Error 1\138_S_R.mol2" space="1" consecutive="1">
      <textFields count="5">
        <textField/>
        <textField/>
        <textField/>
        <textField/>
        <textField/>
      </textFields>
    </textPr>
  </connection>
  <connection id="148" name="138_S_R2" type="6" refreshedVersion="4" background="1" saveData="1">
    <textPr prompt="0" codePage="437" sourceFile="E:\Vital\ITresearch\Morgan\Error 1\138_S_R.mol2" space="1" consecutive="1">
      <textFields count="5">
        <textField/>
        <textField/>
        <textField/>
        <textField/>
        <textField/>
      </textFields>
    </textPr>
  </connection>
  <connection id="149" name="138_S_S" type="6" refreshedVersion="4" background="1" saveData="1">
    <textPr prompt="0" codePage="437" sourceFile="E:\Vital\ITresearch\Morgan\Error 1\138_S_S.mol2" space="1" consecutive="1">
      <textFields count="5">
        <textField/>
        <textField/>
        <textField/>
        <textField/>
        <textField/>
      </textFields>
    </textPr>
  </connection>
  <connection id="150" name="138_S_S1" type="6" refreshedVersion="4" background="1" saveData="1">
    <textPr prompt="0" codePage="437" sourceFile="E:\Vital\ITresearch\Morgan\Error 1\138_S_S.mol2" space="1" consecutive="1">
      <textFields count="5">
        <textField/>
        <textField/>
        <textField/>
        <textField/>
        <textField/>
      </textFields>
    </textPr>
  </connection>
  <connection id="151" name="138_S_S2" type="6" refreshedVersion="4" background="1" saveData="1">
    <textPr prompt="0" codePage="437" sourceFile="E:\Vital\ITresearch\Morgan\Error 1\138_S_S.mol2" space="1" consecutive="1">
      <textFields count="5">
        <textField/>
        <textField/>
        <textField/>
        <textField/>
        <textField/>
      </textFields>
    </textPr>
  </connection>
  <connection id="152" name="139_227_Max_Min" type="6" refreshedVersion="3" background="1">
    <textPr prompt="0" codePage="437" sourceFile="139_22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139_838_139_morgan" type="6" refreshedVersion="4" background="1">
    <textPr prompt="0" codePage="437" sourceFile="C:\Users\omkar.pawar\Desktop\Trail\New folder\139_838_13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14_1633_morgan" type="6" refreshedVersion="4" background="1">
    <textPr prompt="0" codePage="437" sourceFile="E:\vitals\IT_developments\Excels\EVANS\trouble\Identified\14_163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14_18_Max_Min" type="6" refreshedVersion="3" background="1">
    <textPr prompt="0" codePage="437" sourceFile="14_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14_23_Max_Min" type="6" refreshedVersion="3" background="1">
    <textPr prompt="0" codePage="437" sourceFile="14_2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14_691_14_morga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14_691_14_morga1" type="6" refreshedVersion="4" background="1" saveData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14_691_14_morga10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14_691_14_morga11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14_691_14_morga12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14_691_14_morga13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14_691_14_morga14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14_691_14_morga15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14_691_14_morga16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14_691_14_morga17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14_691_14_morga18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14_691_14_morga19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14_691_14_morga2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14_691_14_morga20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14_691_14_morga21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14_691_14_morga22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14_691_14_morga23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14_691_14_morga24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14_691_14_morga25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14_691_14_morga26" type="6" refreshedVersion="4" background="1">
    <textPr prompt="0" codePage="437" sourceFile="E:\vitals\IT_developments\Excels\matrix\coVar\14_691_14_morga.csv" comma="1">
      <textFields count="5">
        <textField/>
        <textField/>
        <textField/>
        <textField/>
        <textField/>
      </textFields>
    </textPr>
  </connection>
  <connection id="177" name="14_691_14_morga27" type="6" refreshedVersion="4" background="1" saveData="1">
    <textPr prompt="0" codePage="437" sourceFile="E:\vitals\IT_developments\Excels\matrix\coVar\14_691_14_morga.csv" comma="1">
      <textFields count="5">
        <textField/>
        <textField/>
        <textField/>
        <textField/>
        <textField/>
      </textFields>
    </textPr>
  </connection>
  <connection id="178" name="14_691_14_morga28" type="6" refreshedVersion="4" background="1" saveData="1">
    <textPr prompt="0" codePage="437" sourceFile="E:\vitals\IT_developments\Excels\matrix\coVar\14_691_14_morga.csv" comma="1">
      <textFields count="5">
        <textField/>
        <textField/>
        <textField/>
        <textField/>
        <textField/>
      </textFields>
    </textPr>
  </connection>
  <connection id="179" name="14_691_14_morga29" type="6" refreshedVersion="4" background="1" saveData="1">
    <textPr prompt="0" codePage="437" sourceFile="E:\vitals\IT_developments\Excels\matrix\coVar\14_691_14_morga.csv" space="1" consecutive="1">
      <textFields count="5">
        <textField/>
        <textField/>
        <textField/>
        <textField/>
        <textField/>
      </textFields>
    </textPr>
  </connection>
  <connection id="180" name="14_691_14_morga3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14_691_14_morga30" type="6" refreshedVersion="4" background="1">
    <textPr prompt="0" codePage="437" sourceFile="E:\vitals\IT_developments\Excels\matrix\coVar\14_691_14_morga.csv" space="1" consecutive="1">
      <textFields count="5">
        <textField/>
        <textField/>
        <textField/>
        <textField/>
        <textField/>
      </textFields>
    </textPr>
  </connection>
  <connection id="182" name="14_691_14_morga31" type="6" refreshedVersion="4" background="1">
    <textPr prompt="0" codePage="437" sourceFile="E:\vitals\IT_developments\Excels\matrix\coVar\14_691_14_morga.csv" space="1" consecutive="1">
      <textFields count="5">
        <textField/>
        <textField/>
        <textField/>
        <textField/>
        <textField/>
      </textFields>
    </textPr>
  </connection>
  <connection id="183" name="14_691_14_morga32" type="6" refreshedVersion="4" background="1" saveData="1">
    <textPr prompt="0" codePage="437" sourceFile="E:\vitals\IT_developments\Excels\matrix\coVar\14_691_14_morga.csv" space="1" comma="1" consecutive="1">
      <textFields count="5">
        <textField/>
        <textField/>
        <textField/>
        <textField/>
        <textField/>
      </textFields>
    </textPr>
  </connection>
  <connection id="184" name="14_691_14_morga33" type="6" refreshedVersion="4" background="1">
    <textPr prompt="0" codePage="437" sourceFile="E:\vitals\IT_developments\Excels\matrix\coVar\14_691_14_morga.csv" space="1" comma="1" consecutive="1">
      <textFields count="5">
        <textField/>
        <textField/>
        <textField/>
        <textField/>
        <textField/>
      </textFields>
    </textPr>
  </connection>
  <connection id="185" name="14_691_14_morga34" type="6" refreshedVersion="4" background="1">
    <textPr prompt="0" codePage="437" sourceFile="E:\vitals\IT_developments\Excels\matrix\coVar\14_691_14_morga.csv" space="1" comma="1" consecutive="1">
      <textFields count="5">
        <textField/>
        <textField/>
        <textField/>
        <textField/>
        <textField/>
      </textFields>
    </textPr>
  </connection>
  <connection id="186" name="14_691_14_morga35" type="6" refreshedVersion="4" background="1">
    <textPr prompt="0" codePage="437" sourceFile="E:\vitals\IT_developments\Excels\matrix\coVar\14_691_14_morga.csv" space="1" comma="1" consecutive="1">
      <textFields count="5">
        <textField/>
        <textField/>
        <textField/>
        <textField/>
        <textField/>
      </textFields>
    </textPr>
  </connection>
  <connection id="187" name="14_691_14_morga36" type="6" refreshedVersion="4" background="1">
    <textPr prompt="0" codePage="437" sourceFile="E:\vitals\IT_developments\Excels\matrix\coVar\14_691_14_morga.csv" space="1" consecutive="1">
      <textFields count="5">
        <textField/>
        <textField/>
        <textField/>
        <textField/>
        <textField/>
      </textFields>
    </textPr>
  </connection>
  <connection id="188" name="14_691_14_morga37" type="6" refreshedVersion="4" background="1" saveData="1">
    <textPr prompt="0" codePage="437" sourceFile="E:\vitals\IT_developments\Excels\matrix\coVar\14_691_14_morga.csv" space="1" comma="1" consecutive="1">
      <textFields count="5">
        <textField/>
        <textField/>
        <textField/>
        <textField/>
        <textField/>
      </textFields>
    </textPr>
  </connection>
  <connection id="189" name="14_691_14_morga38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14_691_14_morga39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14_691_14_morga4" type="6" refreshedVersion="4" background="1" saveData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14_691_14_morga40" type="6" refreshedVersion="4" background="1">
    <textPr prompt="0" codePage="437" sourceFile="E:\vitals\IT_developments\Excels\matrix\coVar\matrixwithlabels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14_691_14_morga41" type="6" refreshedVersion="4" background="1">
    <textPr prompt="0" codePage="437" sourceFile="E:\vitals\IT_developments\Excels\matrix\coVar\matrixwithlabels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14_691_14_morga42" type="6" refreshedVersion="4" background="1">
    <textPr prompt="0" codePage="437" sourceFile="E:\vitals\IT_developments\Excels\matrix\coVar\matrixwithlabels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14_691_14_morga43" type="6" refreshedVersion="4" background="1" saveData="1">
    <textPr prompt="0" codePage="437" sourceFile="E:\vitals\IT_developments\Excels\matrix\coVar\matrixwithlabels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14_691_14_morga44" type="6" refreshedVersion="4" background="1">
    <textPr prompt="0" codePage="437" sourceFile="E:\vitals\IT_developments\Excels\matrix\coVar\matrixwithlabels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14_691_14_morga45" type="6" refreshedVersion="4" background="1">
    <textPr prompt="0" codePage="437" sourceFile="E:\vitals\IT_developments\Excels\matrix\coVar\matrixwithlabels\test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14_691_14_morga5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14_691_14_morga6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14_691_14_morga7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14_691_14_morga8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14_691_14_morga9" type="6" refreshedVersion="4" background="1">
    <textPr prompt="0" codePage="437" sourceFile="E:\vitals\IT_developments\Excels\matrix\coVar\14_691_1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140_229_Max_Min" type="6" refreshedVersion="3" background="1">
    <textPr prompt="0" codePage="437" sourceFile="140_22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140_Max_Min" type="6" refreshedVersion="3" background="1">
    <textPr prompt="0" codePage="437" sourceFile="1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140_Max_Min1" type="6" refreshedVersion="3" background="1">
    <textPr prompt="0" codePage="437" sourceFile="1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141_230_Max_Min" type="6" refreshedVersion="3" background="1">
    <textPr prompt="0" codePage="437" sourceFile="141_23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141_840_141_morgan" type="6" refreshedVersion="4" background="1">
    <textPr prompt="0" codePage="437" sourceFile="C:\Users\omkar.pawar\Desktop\Trail\New folder\141_840_14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142_231_Max_Min" type="6" refreshedVersion="3" background="1">
    <textPr prompt="0" codePage="437" sourceFile="142_23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142_Max_Min" type="6" refreshedVersion="3" background="1">
    <textPr prompt="0" codePage="437" sourceFile="1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142_Max_Min_ scld_MAXDN" type="6" refreshedVersion="3" background="1">
    <textPr prompt="0" codePage="437" sourceFile="142_Max_Min_ scld_MAXD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142_Max_Min_ scld_MAXDN_ scld_sumI" type="6" refreshedVersion="3" background="1">
    <textPr prompt="0" codePage="437" sourceFile="142_Max_Min_ scld_MAXDN_ scld_sum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143_235_Max_Min" type="6" refreshedVersion="3" background="1">
    <textPr prompt="0" codePage="437" sourceFile="143_23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143_843_143_morgan" type="6" refreshedVersion="4" background="1">
    <textPr prompt="0" codePage="437" sourceFile="C:\Users\omkar.pawar\Desktop\Trail\New folder\143_843_14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144_236_Max_Min" type="6" refreshedVersion="3" background="1">
    <textPr prompt="0" codePage="437" sourceFile="144_23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144_845_144_morgan" type="6" refreshedVersion="4" background="1">
    <textPr prompt="0" codePage="437" sourceFile="C:\Users\omkar.pawar\Desktop\Trail\New folder\144_845_14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145_238_Max_Min" type="6" refreshedVersion="3" background="1">
    <textPr prompt="0" codePage="437" sourceFile="145_23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146_240_Max_Min" type="6" refreshedVersion="3" background="1">
    <textPr prompt="0" codePage="437" sourceFile="146_2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146_847_146_morgan" type="6" refreshedVersion="4" background="1">
    <textPr prompt="0" codePage="437" sourceFile="C:\Users\omkar.pawar\Desktop\Trail\New folder\146_847_14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name="147_242_Max_Min" type="6" refreshedVersion="3" background="1">
    <textPr prompt="0" codePage="437" sourceFile="147_2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name="148_244_Max_Min" type="6" refreshedVersion="3" background="1">
    <textPr prompt="0" codePage="437" sourceFile="148_24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name="149_246_Max_Min" type="6" refreshedVersion="3" background="1">
    <textPr prompt="0" codePage="437" sourceFile="149_24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name="15_1634_morgan" type="6" refreshedVersion="4" background="1">
    <textPr prompt="0" codePage="437" sourceFile="E:\vitals\IT_developments\Excels\EVANS\trouble\Identified\15_163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name="15_22_Max_Min" type="6" refreshedVersion="3" background="1">
    <textPr prompt="0" codePage="437" sourceFile="15_2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name="15_24_Max_Min" type="6" refreshedVersion="3" background="1">
    <textPr prompt="0" codePage="437" sourceFile="15_2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" name="15_692_15_morga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name="15_692_15_morga1" type="6" refreshedVersion="4" background="1" saveData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name="15_692_15_morga10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" name="15_692_15_morga11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" name="15_692_15_morga12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" name="15_692_15_morga13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" name="15_692_15_morga14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" name="15_692_15_morga15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" name="15_692_15_morga16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" name="15_692_15_morga17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" name="15_692_15_morga18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" name="15_692_15_morga19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" name="15_692_15_morga2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" name="15_692_15_morga20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" name="15_692_15_morga21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" name="15_692_15_morga22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" name="15_692_15_morga23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" name="15_692_15_morga24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" name="15_692_15_morga25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" name="15_692_15_morga26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" name="15_692_15_morga27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" name="15_692_15_morga28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" name="15_692_15_morga29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" name="15_692_15_morga3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" name="15_692_15_morga30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" name="15_692_15_morga31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" name="15_692_15_morga32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" name="15_692_15_morga33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" name="15_692_15_morga34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" name="15_692_15_morga35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" name="15_692_15_morga36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" name="15_692_15_morga37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" name="15_692_15_morga38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" name="15_692_15_morga39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" name="15_692_15_morga4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" name="15_692_15_morga40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" name="15_692_15_morga41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" name="15_692_15_morga42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" name="15_692_15_morga43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" name="15_692_15_morga44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" name="15_692_15_morga45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" name="15_692_15_morga46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" name="15_692_15_morga47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" name="15_692_15_morga48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" name="15_692_15_morga49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" name="15_692_15_morga5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" name="15_692_15_morga50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" name="15_692_15_morga51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" name="15_692_15_morga52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" name="15_692_15_morga53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" name="15_692_15_morga54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" name="15_692_15_morga55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" name="15_692_15_morga56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" name="15_692_15_morga57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" name="15_692_15_morga58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" name="15_692_15_morga59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" name="15_692_15_morga6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" name="15_692_15_morga60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" name="15_692_15_morga61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" name="15_692_15_morga62" type="6" refreshedVersion="4" background="1">
    <textPr prompt="0" codePage="437" sourceFile="E:\vitals\IT_developments\Excels\matrix\coVar\matrixwithlabels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" name="15_692_15_morga63" type="6" refreshedVersion="4" background="1" saveData="1">
    <textPr prompt="0" codePage="437" sourceFile="E:\vitals\IT_developments\Excels\matrix\coVar\matrixwithlabels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" name="15_692_15_morga64" type="6" refreshedVersion="4" background="1" saveData="1">
    <textPr prompt="0" codePage="437" sourceFile="E:\vitals\IT_developments\Excels\matrix\coVar\matrixwithlabels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" name="15_692_15_morga65" type="6" refreshedVersion="4" background="1">
    <textPr prompt="0" codePage="437" sourceFile="E:\vitals\IT_developments\Excels\matrix\coVar\matrixwithlabels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" name="15_692_15_morga66" type="6" refreshedVersion="4" background="1">
    <textPr prompt="0" codePage="437" sourceFile="E:\vitals\IT_developments\Excels\matrix\coVar\matrixwithlabels\test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" name="15_692_15_morga7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" name="15_692_15_morga8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" name="15_692_15_morga9" type="6" refreshedVersion="4" background="1">
    <textPr prompt="0" codePage="437" sourceFile="E:\vitals\IT_developments\Excels\matrix\coVar\15_692_15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" name="150_248_Max_Min" type="6" refreshedVersion="3" background="1">
    <textPr prompt="0" codePage="437" sourceFile="150_24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" name="151_249_Max_Min" type="6" refreshedVersion="3" background="1">
    <textPr prompt="0" codePage="437" sourceFile="151_24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" name="151_Max_Min" type="6" refreshedVersion="3" background="1">
    <textPr prompt="0" codePage="437" sourceFile="15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" name="151_Max_Min_ scld_ETA_Beta" type="6" refreshedVersion="3" background="1">
    <textPr prompt="0" codePage="437" sourceFile="151_Max_Min_ scld_ETA_B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" name="151_Max_Min_ scld_ETA_Beta_ scld_sumI" type="6" refreshedVersion="3" background="1">
    <textPr prompt="0" codePage="437" sourceFile="151_Max_Min_ scld_ETA_Beta_ scld_sum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" name="151_Max_Min_ scld_ETA_Beta_ scld_TopoPSA" type="6" refreshedVersion="3" background="1">
    <textPr prompt="0" codePage="437" sourceFile="151_Max_Min_ scld_ETA_Beta_ scld_TopoPS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" name="151_Max_Min_ scld_ETA_Beta_ scld_TopoPSA_ scld_ETA_Beta" type="6" refreshedVersion="3" background="1">
    <textPr prompt="0" codePage="437" sourceFile="151_Max_Min_ scld_ETA_Beta_ scld_TopoPSA_ scld_ETA_B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" name="151_Max_Min_ scld_ETA_Beta_ scld_TopoPSA_ scld_MLogP" type="6" refreshedVersion="3" background="1">
    <textPr prompt="0" codePage="437" sourceFile="151_Max_Min_ scld_ETA_Beta_ scld_TopoPSA_ scld_M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" name="151_Max_Min1" type="6" refreshedVersion="3" background="1">
    <textPr prompt="0" codePage="437" sourceFile="15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" name="152_253_Max_Min" type="6" refreshedVersion="3" background="1">
    <textPr prompt="0" codePage="437" sourceFile="152_25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" name="152_855_152_morgan" type="6" refreshedVersion="4" background="1">
    <textPr prompt="0" codePage="437" sourceFile="C:\Users\omkar.pawar\Desktop\Trail\New folder\152_855_15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" name="153_254_Max_Min" type="6" refreshedVersion="3" background="1">
    <textPr prompt="0" codePage="437" sourceFile="153_25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" name="153_856_153_morgan" type="6" refreshedVersion="4" background="1">
    <textPr prompt="0" codePage="437" sourceFile="C:\Users\omkar.pawar\Desktop\Trail\New folder\153_856_15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" name="154_256_Max_Min" type="6" refreshedVersion="3" background="1">
    <textPr prompt="0" codePage="437" sourceFile="154_25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" name="155_257_Max_Min" type="6" refreshedVersion="3" background="1">
    <textPr prompt="0" codePage="437" sourceFile="155_25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" name="156_258_Max_Min" type="6" refreshedVersion="3" background="1">
    <textPr prompt="0" codePage="437" sourceFile="156_25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" name="157_260_Max_Min" type="6" refreshedVersion="3" background="1">
    <textPr prompt="0" codePage="437" sourceFile="157_2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" name="157_860_157_morgan" type="6" refreshedVersion="4" background="1">
    <textPr prompt="0" codePage="437" sourceFile="C:\Users\omkar.pawar\Desktop\Trail\New folder\157_860_15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" name="158_261_Max_Min" type="6" refreshedVersion="3" background="1">
    <textPr prompt="0" codePage="437" sourceFile="158_26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" name="158_861_158_morgan" type="6" refreshedVersion="4" background="1">
    <textPr prompt="0" codePage="437" sourceFile="C:\Users\omkar.pawar\Desktop\Trail\New folder\158_861_15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" name="159_263_Max_Min" type="6" refreshedVersion="3" background="1">
    <textPr prompt="0" codePage="437" sourceFile="159_26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" name="16_1636_morgan" type="6" refreshedVersion="4" background="1">
    <textPr prompt="0" codePage="437" sourceFile="E:\vitals\IT_developments\Excels\EVANS\trouble\Identified\16_163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" name="16_23_Max_Min" type="6" refreshedVersion="3" background="1">
    <textPr prompt="0" codePage="437" sourceFile="16_2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" name="16_25_Max_Min" type="6" refreshedVersion="3" background="1">
    <textPr prompt="0" codePage="437" sourceFile="16_2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" name="160_273_Max_Min" type="6" refreshedVersion="3" background="1">
    <textPr prompt="0" codePage="437" sourceFile="160_27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" name="160_Max_Min" type="6" refreshedVersion="3" background="1">
    <textPr prompt="0" codePage="437" sourceFile="1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" name="160_Max_Min1" type="6" refreshedVersion="3" background="1">
    <textPr prompt="0" codePage="437" sourceFile="1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" name="161_274_Max_Min" type="6" refreshedVersion="3" background="1">
    <textPr prompt="0" codePage="437" sourceFile="161_27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" name="161_866_161_morgan" type="6" refreshedVersion="4" background="1">
    <textPr prompt="0" codePage="437" sourceFile="C:\Users\omkar.pawar\Desktop\Trail\New folder\161_866_16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" name="161_Max_Min" type="6" refreshedVersion="3" background="1">
    <textPr prompt="0" codePage="437" sourceFile="16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" name="161_Max_Min_ scld_TopoPSA" type="6" refreshedVersion="3" background="1">
    <textPr prompt="0" codePage="437" sourceFile="161_Max_Min_ scld_TopoPS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" name="161_Max_Min_ scld_TopoPSA_ scld_MAXDP" type="6" refreshedVersion="3" background="1">
    <textPr prompt="0" codePage="437" sourceFile="161_Max_Min_ scld_TopoPSA_ scld_MAXD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" name="161_Max_Min_ scld_TopoPSA_ scld_MAXDP_ scld_sumI" type="6" refreshedVersion="3" background="1">
    <textPr prompt="0" codePage="437" sourceFile="161_Max_Min_ scld_TopoPSA_ scld_MAXDP_ scld_sum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" name="161_Max_Min_ scld_TopoPSA_ scld_MLFER_BO" type="6" refreshedVersion="3" background="1">
    <textPr prompt="0" codePage="437" sourceFile="161_Max_Min_ scld_TopoPSA_ scld_MLFER_BO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" name="162_275_Max_Min" type="6" refreshedVersion="3" background="1">
    <textPr prompt="0" codePage="437" sourceFile="162_27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" name="163_278_Max_Min" type="6" refreshedVersion="3" background="1">
    <textPr prompt="0" codePage="437" sourceFile="163_27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" name="163_868_163_morgan" type="6" refreshedVersion="4" background="1">
    <textPr prompt="0" codePage="437" sourceFile="C:\Users\omkar.pawar\Desktop\Trail\New folder\163_868_16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" name="164_279_Max_Min" type="6" refreshedVersion="3" background="1">
    <textPr prompt="0" codePage="437" sourceFile="164_27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" name="165_280_Max_Min" type="6" refreshedVersion="3" background="1">
    <textPr prompt="0" codePage="437" sourceFile="165_28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" name="166_281_Max_Min" type="6" refreshedVersion="3" background="1">
    <textPr prompt="0" codePage="437" sourceFile="166_28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" name="166_872_166_morgan" type="6" refreshedVersion="4" background="1">
    <textPr prompt="0" codePage="437" sourceFile="C:\Users\omkar.pawar\Desktop\Trail\New folder\166_872_16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" name="167_282_Max_Min" type="6" refreshedVersion="3" background="1">
    <textPr prompt="0" codePage="437" sourceFile="167_28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" name="167_873_167_morgan" type="6" refreshedVersion="4" background="1">
    <textPr prompt="0" codePage="437" sourceFile="C:\Users\omkar.pawar\Desktop\Trail\New folder\167_873_16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" name="17_1637_morgan" type="6" refreshedVersion="4" background="1">
    <textPr prompt="0" codePage="437" sourceFile="E:\vitals\IT_developments\Excels\EVANS\trouble\Identified\17_163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" name="17_1638_morgan" type="6" refreshedVersion="4" background="1">
    <textPr prompt="0" codePage="437" sourceFile="E:\vitals\IT_developments\Excels\EVANS\trouble\Identified\17_163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" name="17_24_Max_Min" type="6" refreshedVersion="3" background="1">
    <textPr prompt="0" codePage="437" sourceFile="17_2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" name="17_26_Max_Min" type="6" refreshedVersion="3" background="1">
    <textPr prompt="0" codePage="437" sourceFile="17_2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" name="170_874_170_morgan" type="6" refreshedVersion="4" background="1">
    <textPr prompt="0" codePage="437" sourceFile="C:\Users\omkar.pawar\Desktop\Trail\New folder\170_874_17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" name="170_Max_Min" type="6" refreshedVersion="3" background="1">
    <textPr prompt="0" codePage="437" sourceFile="17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" name="170_Max_Min_ scld_AMW" type="6" refreshedVersion="3" background="1">
    <textPr prompt="0" codePage="437" sourceFile="170_Max_Min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" name="170_Max_Min_ scld_MLogP" type="6" refreshedVersion="3" background="1">
    <textPr prompt="0" codePage="437" sourceFile="170_Max_Min_ scld_M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" name="170_Max_Min_ scld_MLogP_ scld_MLFER_L" type="6" refreshedVersion="3" background="1">
    <textPr prompt="0" codePage="437" sourceFile="170_Max_Min_ scld_MLogP_ scld_MLFER_L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" name="170_Max_Min_ scld_MLogP_scld_ETA_Eta_B" type="6" refreshedVersion="3" background="1">
    <textPr prompt="0" codePage="437" sourceFile="170_Max_Min_ scld_MLogP_scld_ETA_Eta_B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" name="170_Max_Min_ scld_MLogP_scld_ETA_Eta_B_ scld_ETA_Beta" type="6" refreshedVersion="3" background="1">
    <textPr prompt="0" codePage="437" sourceFile="170_Max_Min_ scld_MLogP_scld_ETA_Eta_B_ scld_ETA_B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" name="170_Max_Min_ scld_MLogP_scld_ETA_Eta_B_ scld_TopoPSA" type="6" refreshedVersion="3" background="1">
    <textPr prompt="0" codePage="437" sourceFile="170_Max_Min_ scld_MLogP_scld_ETA_Eta_B_ scld_TopoPS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" name="170_Max_Min_ scld_MLogP_scld_ETA_Eta_B_ scld_TopoPSA_ scld_maxwHBa" type="6" refreshedVersion="3" background="1">
    <textPr prompt="0" codePage="437" sourceFile="170_Max_Min_ scld_MLogP_scld_ETA_Eta_B_ scld_TopoPSA_ scld_maxwHB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" name="171_876_171_morgan" type="6" refreshedVersion="4" background="1">
    <textPr prompt="0" codePage="437" sourceFile="C:\Users\omkar.pawar\Desktop\Trail\New folder\171_876_17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" name="174_880_174_morgan" type="6" refreshedVersion="4" background="1">
    <textPr prompt="0" codePage="437" sourceFile="C:\Users\omkar.pawar\Desktop\Trail\New folder\174_880_17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" name="177_883_177_morgan" type="6" refreshedVersion="4" background="1">
    <textPr prompt="0" codePage="437" sourceFile="C:\Users\omkar.pawar\Desktop\Trail\New folder\177_883_17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" name="178_884_178_morgan" type="6" refreshedVersion="4" background="1">
    <textPr prompt="0" codePage="437" sourceFile="C:\Users\omkar.pawar\Desktop\Trail\New folder\178_884_17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" name="179_885_179_morgan" type="6" refreshedVersion="4" background="1">
    <textPr prompt="0" codePage="437" sourceFile="C:\Users\omkar.pawar\Desktop\Trail\New folder\179_885_17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" name="18_1639_morgan" type="6" refreshedVersion="4" background="1">
    <textPr prompt="0" codePage="437" sourceFile="E:\vitals\IT_developments\Excels\EVANS\trouble\Identified\18_163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" name="18_25_Max_Min" type="6" refreshedVersion="3" background="1">
    <textPr prompt="0" codePage="437" sourceFile="18_2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" name="18_28_Max_Min" type="6" refreshedVersion="3" background="1">
    <textPr prompt="0" codePage="437" sourceFile="18_2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" name="18_697_18_morga" type="6" refreshedVersion="4" background="1">
    <textPr prompt="0" codePage="437" sourceFile="E:\vitals\IT_developments\Excels\matrix\coVar\18_697_18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" name="18_697_18_morga1" type="6" refreshedVersion="4" background="1">
    <textPr prompt="0" codePage="437" sourceFile="E:\vitals\IT_developments\Excels\matrix\coVar\18_697_18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" name="18_697_18_morga2" type="6" refreshedVersion="4" background="1">
    <textPr prompt="0" codePage="437" sourceFile="E:\vitals\IT_developments\Excels\matrix\coVar\matrixwithlabels\18_697_18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" name="18_697_18_morga3" type="6" refreshedVersion="4" background="1">
    <textPr prompt="0" codePage="437" sourceFile="E:\vitals\IT_developments\Excels\matrix\coVar\matrixwithlabels\18_697_18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" name="18_697_18_morga4" type="6" refreshedVersion="4" background="1">
    <textPr prompt="0" codePage="437" sourceFile="E:\vitals\IT_developments\Excels\matrix\coVar\matrixwithlabels\test\18_697_18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" name="180_886_180_morgan" type="6" refreshedVersion="4" background="1">
    <textPr prompt="0" codePage="437" sourceFile="C:\Users\omkar.pawar\Desktop\Trail\New folder\180_886_18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" name="181_887_181_morgan" type="6" refreshedVersion="4" background="1">
    <textPr prompt="0" codePage="437" sourceFile="C:\Users\omkar.pawar\Desktop\Trail\New folder\181_887_18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" name="182_889_182_morgan" type="6" refreshedVersion="4" background="1">
    <textPr prompt="0" codePage="437" sourceFile="C:\Users\omkar.pawar\Desktop\Trail\New folder\182_889_18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" name="182_Max_Min" type="6" refreshedVersion="3" background="1">
    <textPr prompt="0" codePage="437" sourceFile="18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" name="182_Max_Min_ scld_AMW" type="6" refreshedVersion="3" background="1">
    <textPr prompt="0" codePage="437" sourceFile="182_Max_Min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" name="182_Max_Min_ scld_ETA_Eta" type="6" refreshedVersion="3" background="1">
    <textPr prompt="0" codePage="437" sourceFile="182_Max_Min_ scld_ETA_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" name="182_Max_Min_ scld_ETA_Eta_ scld_MLFER_L" type="6" refreshedVersion="3" background="1">
    <textPr prompt="0" codePage="437" sourceFile="182_Max_Min_ scld_ETA_Eta_ scld_MLFER_L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" name="182_Max_Min_ scld_ETA_Eta_ scld_sumI" type="6" refreshedVersion="3" background="1">
    <textPr prompt="0" codePage="437" sourceFile="182_Max_Min_ scld_ETA_Eta_ scld_sum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" name="182_Max_Min1" type="6" refreshedVersion="3" background="1">
    <textPr prompt="0" codePage="437" sourceFile="18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" name="183_Max_Min" type="6" refreshedVersion="3" background="1">
    <textPr prompt="0" codePage="437" sourceFile="18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" name="183_Max_Min_ scld_gmin" type="6" refreshedVersion="3" background="1">
    <textPr prompt="0" codePage="437" sourceFile="183_Max_Min_ scld_g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" name="19_100_Max_Min" type="6" refreshedVersion="3" background="1">
    <textPr prompt="0" codePage="437" sourceFile="19_10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" name="19_26_Max_Min" type="6" refreshedVersion="3" background="1">
    <textPr prompt="0" codePage="437" sourceFile="19_2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" name="19_698_19_morga" type="6" refreshedVersion="4" background="1">
    <textPr prompt="0" codePage="437" sourceFile="E:\vitals\IT_developments\Excels\matrix\coVar\19_698_19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" name="19_698_19_morga1" type="6" refreshedVersion="4" background="1">
    <textPr prompt="0" codePage="437" sourceFile="E:\vitals\IT_developments\Excels\matrix\coVar\19_698_19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" name="19_698_19_morga2" type="6" refreshedVersion="4" background="1">
    <textPr prompt="0" codePage="437" sourceFile="E:\vitals\IT_developments\Excels\matrix\coVar\matrixwithlabels\19_698_19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" name="19_698_19_morga3" type="6" refreshedVersion="4" background="1">
    <textPr prompt="0" codePage="437" sourceFile="E:\vitals\IT_developments\Excels\matrix\coVar\matrixwithlabels\19_698_19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" name="19_698_19_morga4" type="6" refreshedVersion="4" background="1">
    <textPr prompt="0" codePage="437" sourceFile="E:\vitals\IT_developments\Excels\matrix\coVar\matrixwithlabels\test\19_698_19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" name="190" type="6" refreshedVersion="4" background="1" saveData="1">
    <textPr prompt="0" codePage="437" sourceFile="E:\Vital\ITresearch\Morgan\Error 1\190.mol2" space="1" consecutive="1">
      <textFields count="5">
        <textField/>
        <textField/>
        <textField/>
        <textField/>
        <textField/>
      </textFields>
    </textPr>
  </connection>
  <connection id="380" name="1901" type="6" refreshedVersion="4" background="1" saveData="1">
    <textPr prompt="0" codePage="437" sourceFile="E:\Vital\ITresearch\Morgan\Error 1\190.mol2" space="1" consecutive="1">
      <textFields count="5">
        <textField/>
        <textField/>
        <textField/>
        <textField/>
        <textField/>
      </textFields>
    </textPr>
  </connection>
  <connection id="381" name="1902" type="6" refreshedVersion="4" background="1" saveData="1">
    <textPr prompt="0" codePage="437" sourceFile="E:\Vital\ITresearch\Morgan\Error 1\190.mol2" space="1" consecutive="1">
      <textFields count="5">
        <textField/>
        <textField/>
        <textField/>
        <textField/>
        <textField/>
      </textFields>
    </textPr>
  </connection>
  <connection id="382" name="191_Max_Min" type="6" refreshedVersion="3" background="1">
    <textPr prompt="0" codePage="437" sourceFile="19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" name="191_Max_Min_ scld_ETA_Beta" type="6" refreshedVersion="3" background="1">
    <textPr prompt="0" codePage="437" sourceFile="191_Max_Min_ scld_ETA_B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4" name="191_Max_Min_ scld_ETA_Beta_ scld_VABC" type="6" refreshedVersion="3" background="1">
    <textPr prompt="0" codePage="437" sourceFile="191_Max_Min_ scld_ETA_Beta_ scld_VABC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5" name="191_Max_Min_ scld_ETA_Beta_ scld_VABC_ scld_gmax" type="6" refreshedVersion="3" background="1">
    <textPr prompt="0" codePage="437" sourceFile="191_Max_Min_ scld_ETA_Beta_ scld_VABC_ scld_gmax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6" name="191_Max_Min_ scld_ETA_Eta_L" type="6" refreshedVersion="3" background="1">
    <textPr prompt="0" codePage="437" sourceFile="191_Max_Min_ scld_ETA_Eta_L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7" name="191_Max_Min_ scld_ETA_Eta_L_ scld_sumI" type="6" refreshedVersion="3" background="1">
    <textPr prompt="0" codePage="437" sourceFile="191_Max_Min_ scld_ETA_Eta_L_ scld_sum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8" name="2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389" name="2_1605_morgan" type="6" refreshedVersion="4" background="1">
    <textPr prompt="0" codePage="437" sourceFile="E:\vitals\IT_developments\Excels\EVANS\trouble\Identified\2_160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0" name="2_1605_morgan1" type="6" refreshedVersion="4" background="1">
    <textPr prompt="0" codePage="437" sourceFile="E:\vitals\IT_developments\Excels\EVANS\trouble\Identified\2_160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1" name="2_1605_morgan2" type="6" refreshedVersion="4" background="1">
    <textPr prompt="0" codePage="437" sourceFile="E:\vitals\IT_developments\Excels\EVANS\trouble\Identified\2_160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2" name="2_1605_morgan3" type="6" refreshedVersion="4" background="1">
    <textPr prompt="0" codePage="437" sourceFile="E:\vitals\IT_developments\Excels\EVANS\trouble\Identified\2_160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3" name="2_1606_morgan" type="6" refreshedVersion="4" background="1">
    <textPr prompt="0" codePage="437" sourceFile="E:\vitals\IT_developments\Excels\EVANS\trouble\Identified\2_160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4" name="2_1606_morgan1" type="6" refreshedVersion="4" background="1">
    <textPr prompt="0" codePage="437" sourceFile="E:\vitals\IT_developments\Excels\EVANS\trouble\Identified\2_160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5" name="2_1606_morgan2" type="6" refreshedVersion="4" background="1">
    <textPr prompt="0" codePage="437" sourceFile="E:\vitals\IT_developments\Excels\EVANS\trouble\Identified\2_160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6" name="2_1606_morgan3" type="6" refreshedVersion="4" background="1">
    <textPr prompt="0" codePage="437" sourceFile="E:\vitals\IT_developments\Excels\EVANS\trouble\Identified\2_160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7" name="2_179_Max_Min" type="6" refreshedVersion="4" background="1">
    <textPr prompt="0" codePage="437" sourceFile="2_17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8" name="2_3_Max_Min" type="6" refreshedVersion="3" background="1">
    <textPr prompt="0" codePage="437" sourceFile="2_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9" name="2_3_Max_Min1" type="6" refreshedVersion="3" background="1">
    <textPr prompt="0" codePage="437" sourceFile="2_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0" name="2_684_2_morga" type="6" refreshedVersion="4" background="1">
    <textPr prompt="0" codePage="437" sourceFile="E:\vitals\IT_developments\Excels\matrix\coVar\2_684_2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1" name="2_684_2_morga1" type="6" refreshedVersion="4" background="1">
    <textPr prompt="0" codePage="437" sourceFile="E:\vitals\IT_developments\Excels\matrix\coVar\2_684_2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2" name="2_684_2_morga2" type="6" refreshedVersion="4" background="1">
    <textPr prompt="0" codePage="437" sourceFile="E:\vitals\IT_developments\Excels\matrix\coVar\matrixwithlabels\2_684_2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3" name="2_684_2_morga3" type="6" refreshedVersion="4" background="1">
    <textPr prompt="0" codePage="437" sourceFile="E:\vitals\IT_developments\Excels\matrix\coVar\matrixwithlabels\2_684_2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4" name="2_684_2_morga4" type="6" refreshedVersion="4" background="1">
    <textPr prompt="0" codePage="437" sourceFile="E:\vitals\IT_developments\Excels\matrix\coVar\matrixwithlabels\test\2_684_2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5" name="2_684_2_morgan" type="6" refreshedVersion="4" background="1">
    <textPr prompt="0" codePage="437" sourceFile="C:\Users\omkar.pawar\Desktop\Trail\New folder\2_684_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6" name="2_684_2_morgan_logp" type="6" refreshedVersion="4" background="1">
    <textPr prompt="0" codePage="437" sourceFile="E:\vitals\IT_developments\Excels\matrix\coVar\matrixwithlabels\test\2_684_2_morgan_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7" name="2_684_2_morgan1" type="6" refreshedVersion="4" background="1">
    <textPr prompt="0" codePage="437" sourceFile="E:\vitals\IT_developments\Excels\EVANS\2_684_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8" name="2_684_2_morgan2" type="6" refreshedVersion="4" background="1">
    <textPr prompt="0" codePage="437" sourceFile="E:\vitals\IT_developments\Excels\EVANS\2_684_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9" name="2_684_2_morgan3" type="6" refreshedVersion="4" background="1">
    <textPr prompt="0" codePage="437" sourceFile="E:\vitals\IT_developments\Excels\EVANS\2_684_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0" name="2_684_2_morgan4" type="6" refreshedVersion="4" background="1">
    <textPr prompt="0" codePage="437" sourceFile="E:\vitals\IT_developments\Excels\EVANS\2_684_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1" name="2_Max_Min" type="6" refreshedVersion="4" background="1">
    <textPr prompt="0" codePage="437" sourceFile="R:\WORK\labwrk\work\rework\trial_atomicprops\validn_atomicdiagfill\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2" name="2_Max_Min_algP" type="6" refreshedVersion="4" background="1">
    <textPr prompt="0" codePage="437" sourceFile="R:\WORK\labwrk\work\rework\trial_atomicprops\validn_atomicdiagfill\2_Max_Min_al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3" name="2_Max_Min1" type="6" refreshedVersion="4" background="1">
    <textPr prompt="0" codePage="437" sourceFile="R:\WORK\labwrk\work\rework\trial_atomicprops\validn_atomicdiagfill\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4" name="20_101_Max_Min" type="6" refreshedVersion="3" background="1">
    <textPr prompt="0" codePage="437" sourceFile="20_10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5" name="20_28_Max_Min" type="6" refreshedVersion="3" background="1">
    <textPr prompt="0" codePage="437" sourceFile="20_2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6" name="201_908_201_morgan" type="6" refreshedVersion="4" background="1">
    <textPr prompt="0" codePage="437" sourceFile="C:\Users\omkar.pawar\Desktop\Trail\New folder\201_908_20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7" name="202_909_202_morgan" type="6" refreshedVersion="4" background="1">
    <textPr prompt="0" codePage="437" sourceFile="C:\Users\omkar.pawar\Desktop\Trail\New folder\202_909_20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8" name="203_911_203_morgan" type="6" refreshedVersion="4" background="1">
    <textPr prompt="0" codePage="437" sourceFile="C:\Users\omkar.pawar\Desktop\Trail\New folder\203_911_20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9" name="204_912_204_morgan" type="6" refreshedVersion="4" background="1">
    <textPr prompt="0" codePage="437" sourceFile="C:\Users\omkar.pawar\Desktop\Trail\New folder\204_912_20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0" name="204_Max_Min" type="6" refreshedVersion="3" background="1">
    <textPr prompt="0" codePage="437" sourceFile="20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1" name="204_Max_Min_ scld_ETA_Eta" type="6" refreshedVersion="3" background="1">
    <textPr prompt="0" codePage="437" sourceFile="204_Max_Min_ scld_ETA_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2" name="204_Max_Min_ scld_ETA_Eta_ scld_meanI" type="6" refreshedVersion="3" background="1">
    <textPr prompt="0" codePage="437" sourceFile="204_Max_Min_ scld_ETA_Eta_ scld_mean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3" name="204_Max_Min_ scld_ETA_Eta_ scld_XLogP" type="6" refreshedVersion="3" background="1">
    <textPr prompt="0" codePage="437" sourceFile="204_Max_Min_ scld_ETA_Eta_ scld_X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4" name="204_Max_Min_ scld_VABC" type="6" refreshedVersion="3" background="1">
    <textPr prompt="0" codePage="437" sourceFile="204_Max_Min_ scld_VABC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5" name="204_Max_Min_ scld_VABC_ scld_McGowan_Volume" type="6" refreshedVersion="3" background="1">
    <textPr prompt="0" codePage="437" sourceFile="204_Max_Min_ scld_VABC_ scld_McGowan_Volume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6" name="204_Max_Min1" type="6" refreshedVersion="3" background="1">
    <textPr prompt="0" codePage="437" sourceFile="20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7" name="205_913_205_morgan" type="6" refreshedVersion="4" background="1">
    <textPr prompt="0" codePage="437" sourceFile="C:\Users\omkar.pawar\Desktop\Trail\New folder\205_913_20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8" name="206_914_206_morgan" type="6" refreshedVersion="4" background="1">
    <textPr prompt="0" codePage="437" sourceFile="C:\Users\omkar.pawar\Desktop\Trail\New folder\206_914_20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9" name="207_915_207_morgan" type="6" refreshedVersion="4" background="1">
    <textPr prompt="0" codePage="437" sourceFile="C:\Users\omkar.pawar\Desktop\Trail\New folder\207_915_20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0" name="209_920_209_morgan" type="6" refreshedVersion="4" background="1">
    <textPr prompt="0" codePage="437" sourceFile="C:\Users\omkar.pawar\Desktop\Trail\New folder\209_920_20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1" name="21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432" name="21_104_Max_Min" type="6" refreshedVersion="3" background="1">
    <textPr prompt="0" codePage="437" sourceFile="21_10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3" name="21_31_Max_Min" type="6" refreshedVersion="3" background="1">
    <textPr prompt="0" codePage="437" sourceFile="21_3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4" name="210_Max_Min" type="6" refreshedVersion="3" background="1">
    <textPr prompt="0" codePage="437" sourceFile="2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5" name="210_Max_Min_ scld_ETA_Beta" type="6" refreshedVersion="3" background="1">
    <textPr prompt="0" codePage="437" sourceFile="210_Max_Min_ scld_ETA_B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6" name="210_Max_Min_ scld_ETA_Beta_ scld_AMW" type="6" refreshedVersion="3" background="1">
    <textPr prompt="0" codePage="437" sourceFile="210_Max_Min_ scld_ETA_Beta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7" name="210_Max_Min_ scld_MLFER_E" type="6" refreshedVersion="3" background="1">
    <textPr prompt="0" codePage="437" sourceFile="210_Max_Min_ scld_MLFER_E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8" name="210_Max_Min_ scld_MLFER_E_ scld_sumI" type="6" refreshedVersion="3" background="1">
    <textPr prompt="0" codePage="437" sourceFile="210_Max_Min_ scld_MLFER_E_ scld_sum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9" name="210_Max_Min_ scld_MLFER_E_ scld_sumI_ scld_MLFER_S" type="6" refreshedVersion="3" background="1">
    <textPr prompt="0" codePage="437" sourceFile="210_Max_Min_ scld_MLFER_E_ scld_sumI_ scld_MLFER_S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0" name="2110_Max_Min" type="6" refreshedVersion="4" background="1" saveData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1" name="2110_Max_Min1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2" name="2110_Max_Min10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3" name="2110_Max_Min11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4" name="2110_Max_Min12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5" name="2110_Max_Min2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6" name="2110_Max_Min3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7" name="2110_Max_Min4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8" name="2110_Max_Min5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9" name="2110_Max_Min6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0" name="2110_Max_Min7" type="6" refreshedVersion="4" background="1" saveData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1" name="2110_Max_Min8" type="6" refreshedVersion="4" background="1" saveData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2" name="2110_Max_Min9" type="6" refreshedVersion="4" background="1">
    <textPr prompt="0" codePage="437" sourceFile="2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3" name="2111_Max_Min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4" name="2111_Max_Min1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5" name="2111_Max_Min10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6" name="2111_Max_Min11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7" name="2111_Max_Min12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8" name="2111_Max_Min13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9" name="2111_Max_Min14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0" name="2111_Max_Min15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1" name="2111_Max_Min2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2" name="2111_Max_Min3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3" name="2111_Max_Min4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4" name="2111_Max_Min5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5" name="2111_Max_Min6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6" name="2111_Max_Min7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7" name="2111_Max_Min8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8" name="2111_Max_Min9" type="6" refreshedVersion="4" background="1">
    <textPr prompt="0" codePage="437" sourceFile="211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9" name="2112_Max_Min" type="6" refreshedVersion="4" background="1">
    <textPr prompt="0" codePage="437" sourceFile="21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0" name="2112_Max_Min1" type="6" refreshedVersion="4" background="1">
    <textPr prompt="0" codePage="437" sourceFile="21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1" name="2112_Max_Min2" type="6" refreshedVersion="4" background="1">
    <textPr prompt="0" codePage="437" sourceFile="21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2" name="2112_Max_Min3" type="6" refreshedVersion="4" background="1">
    <textPr prompt="0" codePage="437" sourceFile="21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3" name="2112_Max_Min4" type="6" refreshedVersion="4" background="1">
    <textPr prompt="0" codePage="437" sourceFile="21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4" name="2113_Max_Min" type="6" refreshedVersion="4" background="1">
    <textPr prompt="0" codePage="437" sourceFile="211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5" name="2113_Max_Min1" type="6" refreshedVersion="4" background="1">
    <textPr prompt="0" codePage="437" sourceFile="211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6" name="2113_Max_Min2" type="6" refreshedVersion="4" background="1">
    <textPr prompt="0" codePage="437" sourceFile="211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7" name="2113_Max_Min3" type="6" refreshedVersion="4" background="1">
    <textPr prompt="0" codePage="437" sourceFile="211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8" name="2113_Max_Min4" type="6" refreshedVersion="4" background="1">
    <textPr prompt="0" codePage="437" sourceFile="211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9" name="2114_Max_Min" type="6" refreshedVersion="4" background="1">
    <textPr prompt="0" codePage="437" sourceFile="211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0" name="2114_Max_Min1" type="6" refreshedVersion="4" background="1">
    <textPr prompt="0" codePage="437" sourceFile="211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1" name="2114_Max_Min2" type="6" refreshedVersion="4" background="1">
    <textPr prompt="0" codePage="437" sourceFile="211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2" name="2114_Max_Min3" type="6" refreshedVersion="4" background="1">
    <textPr prompt="0" codePage="437" sourceFile="211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3" name="2114_Max_Min4" type="6" refreshedVersion="4" background="1">
    <textPr prompt="0" codePage="437" sourceFile="211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4" name="2115_Max_Min" type="6" refreshedVersion="4" background="1">
    <textPr prompt="0" codePage="437" sourceFile="21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5" name="2115_Max_Min1" type="6" refreshedVersion="4" background="1">
    <textPr prompt="0" codePage="437" sourceFile="21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6" name="2115_Max_Min2" type="6" refreshedVersion="4" background="1">
    <textPr prompt="0" codePage="437" sourceFile="21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7" name="2115_Max_Min3" type="6" refreshedVersion="4" background="1">
    <textPr prompt="0" codePage="437" sourceFile="21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8" name="2115_Max_Min4" type="6" refreshedVersion="4" background="1">
    <textPr prompt="0" codePage="437" sourceFile="21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9" name="2116_Max_Min" type="6" refreshedVersion="4" background="1">
    <textPr prompt="0" codePage="437" sourceFile="21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0" name="2116_Max_Min1" type="6" refreshedVersion="4" background="1">
    <textPr prompt="0" codePage="437" sourceFile="21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1" name="2116_Max_Min2" type="6" refreshedVersion="4" background="1">
    <textPr prompt="0" codePage="437" sourceFile="21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2" name="2116_Max_Min3" type="6" refreshedVersion="4" background="1">
    <textPr prompt="0" codePage="437" sourceFile="21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3" name="2116_Max_Min4" type="6" refreshedVersion="4" background="1">
    <textPr prompt="0" codePage="437" sourceFile="21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4" name="2117_Max_Min" type="6" refreshedVersion="4" background="1">
    <textPr prompt="0" codePage="437" sourceFile="211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5" name="2117_Max_Min1" type="6" refreshedVersion="4" background="1">
    <textPr prompt="0" codePage="437" sourceFile="211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6" name="2117_Max_Min2" type="6" refreshedVersion="4" background="1">
    <textPr prompt="0" codePage="437" sourceFile="211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7" name="2117_Max_Min3" type="6" refreshedVersion="4" background="1">
    <textPr prompt="0" codePage="437" sourceFile="211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8" name="2117_Max_Min4" type="6" refreshedVersion="4" background="1">
    <textPr prompt="0" codePage="437" sourceFile="211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9" name="2118_Max_Min" type="6" refreshedVersion="4" background="1">
    <textPr prompt="0" codePage="437" sourceFile="21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0" name="2118_Max_Min1" type="6" refreshedVersion="4" background="1">
    <textPr prompt="0" codePage="437" sourceFile="21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1" name="2118_Max_Min2" type="6" refreshedVersion="4" background="1">
    <textPr prompt="0" codePage="437" sourceFile="21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2" name="2118_Max_Min3" type="6" refreshedVersion="4" background="1">
    <textPr prompt="0" codePage="437" sourceFile="21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3" name="2118_Max_Min4" type="6" refreshedVersion="4" background="1">
    <textPr prompt="0" codePage="437" sourceFile="21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4" name="2119_Max_Min" type="6" refreshedVersion="4" background="1">
    <textPr prompt="0" codePage="437" sourceFile="21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5" name="2119_Max_Min1" type="6" refreshedVersion="4" background="1">
    <textPr prompt="0" codePage="437" sourceFile="21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6" name="2119_Max_Min2" type="6" refreshedVersion="4" background="1">
    <textPr prompt="0" codePage="437" sourceFile="21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7" name="2119_Max_Min3" type="6" refreshedVersion="4" background="1">
    <textPr prompt="0" codePage="437" sourceFile="21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8" name="2119_Max_Min4" type="6" refreshedVersion="4" background="1">
    <textPr prompt="0" codePage="437" sourceFile="21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9" name="22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10" name="22_105_Max_Min" type="6" refreshedVersion="3" background="1">
    <textPr prompt="0" codePage="437" sourceFile="22_10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1" name="22_32_Max_Min" type="6" refreshedVersion="3" background="1">
    <textPr prompt="0" codePage="437" sourceFile="22_3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2" name="220_931_220_morgan" type="6" refreshedVersion="4" background="1">
    <textPr prompt="0" codePage="437" sourceFile="C:\Users\omkar.pawar\Desktop\Trail\New folder\220_931_22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3" name="220_Max_Min" type="6" refreshedVersion="3" background="1">
    <textPr prompt="0" codePage="437" sourceFile="22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4" name="220_Max_Min1" type="6" refreshedVersion="3" background="1">
    <textPr prompt="0" codePage="437" sourceFile="22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5" name="221_932_221_morgan" type="6" refreshedVersion="4" background="1">
    <textPr prompt="0" codePage="437" sourceFile="C:\Users\omkar.pawar\Desktop\Trail\New folder\221_932_22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6" name="222_933_222_morgan" type="6" refreshedVersion="4" background="1">
    <textPr prompt="0" codePage="437" sourceFile="C:\Users\omkar.pawar\Desktop\Trail\New folder\222_933_22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7" name="222_Max_Min" type="6" refreshedVersion="3" background="1">
    <textPr prompt="0" codePage="437" sourceFile="22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8" name="222_Max_Min_ scld_AMW" type="6" refreshedVersion="3" background="1">
    <textPr prompt="0" codePage="437" sourceFile="222_Max_Min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9" name="222_Max_Min_ scld_AMW_ scld_AMW" type="6" refreshedVersion="3" background="1">
    <textPr prompt="0" codePage="437" sourceFile="222_Max_Min_ scld_AMW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0" name="222_Max_Min_ scld_AMW_ scld_ETA_Beta" type="6" refreshedVersion="3" background="1">
    <textPr prompt="0" codePage="437" sourceFile="222_Max_Min_ scld_AMW_ scld_ETA_Bet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1" name="222_Max_Min_ scld_TopoPSA" type="6" refreshedVersion="3" background="1">
    <textPr prompt="0" codePage="437" sourceFile="222_Max_Min_ scld_TopoPS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2" name="222_Max_Min_ scld_TopoPSA_ scld_MLFER_S" type="6" refreshedVersion="3" background="1">
    <textPr prompt="0" codePage="437" sourceFile="222_Max_Min_ scld_TopoPSA_ scld_MLFER_S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3" name="23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24" name="23_106_Max_Min" type="6" refreshedVersion="3" background="1">
    <textPr prompt="0" codePage="437" sourceFile="23_10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5" name="23_33_Max_Min" type="6" refreshedVersion="3" background="1">
    <textPr prompt="0" codePage="437" sourceFile="23_3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6" name="23_703_23_morga" type="6" refreshedVersion="4" background="1">
    <textPr prompt="0" codePage="437" sourceFile="E:\vitals\IT_developments\Excels\matrix\coVar\23_703_23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7" name="23_703_23_morga1" type="6" refreshedVersion="4" background="1">
    <textPr prompt="0" codePage="437" sourceFile="E:\vitals\IT_developments\Excels\matrix\coVar\23_703_23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8" name="23_703_23_morga2" type="6" refreshedVersion="4" background="1">
    <textPr prompt="0" codePage="437" sourceFile="E:\vitals\IT_developments\Excels\matrix\coVar\matrixwithlabels\23_703_23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9" name="23_703_23_morga3" type="6" refreshedVersion="4" background="1">
    <textPr prompt="0" codePage="437" sourceFile="E:\vitals\IT_developments\Excels\matrix\coVar\matrixwithlabels\23_703_23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0" name="23_703_23_morga4" type="6" refreshedVersion="4" background="1">
    <textPr prompt="0" codePage="437" sourceFile="E:\vitals\IT_developments\Excels\matrix\coVar\matrixwithlabels\test\23_703_23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1" name="230_Max_Min" type="6" refreshedVersion="3" background="1">
    <textPr prompt="0" codePage="437" sourceFile="23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2" name="230_Max_Min_ scld_XLogP" type="6" refreshedVersion="3" background="1">
    <textPr prompt="0" codePage="437" sourceFile="230_Max_Min_ scld_X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3" name="230_Max_Min_ scld_XLogP_ scld_ETA_Eta_F" type="6" refreshedVersion="3" background="1">
    <textPr prompt="0" codePage="437" sourceFile="230_Max_Min_ scld_XLogP_ scld_ETA_Eta_F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4" name="230_Max_Min_ scld_XLogP_ scld_ETA_Eta_F_ scld_MW" type="6" refreshedVersion="3" background="1">
    <textPr prompt="0" codePage="437" sourceFile="230_Max_Min_ scld_XLogP_ scld_ETA_Eta_F_ scld_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5" name="230_Max_Min_ scld_XLogP_ scld_MAXDP" type="6" refreshedVersion="3" background="1">
    <textPr prompt="0" codePage="437" sourceFile="230_Max_Min_ scld_XLogP_ scld_MAXD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6" name="230_Max_Min1" type="6" refreshedVersion="3" background="1">
    <textPr prompt="0" codePage="437" sourceFile="23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7" name="231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38" name="232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39" name="234_945_234_morgan" type="6" refreshedVersion="4" background="1">
    <textPr prompt="0" codePage="437" sourceFile="C:\Users\omkar.pawar\Desktop\Trail\New folder\234_945_23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0" name="235_947_235_morgan" type="6" refreshedVersion="4" background="1">
    <textPr prompt="0" codePage="437" sourceFile="C:\Users\omkar.pawar\Desktop\Trail\New folder\235_947_23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1" name="24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42" name="24_107_Max_Min" type="6" refreshedVersion="3" background="1">
    <textPr prompt="0" codePage="437" sourceFile="24_10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3" name="24_34_Max_Min" type="6" refreshedVersion="3" background="1">
    <textPr prompt="0" codePage="437" sourceFile="24_3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4" name="240_Max_Min" type="6" refreshedVersion="3" background="1">
    <textPr prompt="0" codePage="437" sourceFile="2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5" name="240_Max_Min_ scld_gmin" type="6" refreshedVersion="3" background="1">
    <textPr prompt="0" codePage="437" sourceFile="240_Max_Min_ scld_g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6" name="240_Max_Min_ scld_gmin_ scld_MLFER_BO" type="6" refreshedVersion="3" background="1">
    <textPr prompt="0" codePage="437" sourceFile="240_Max_Min_ scld_gmin_ scld_MLFER_BO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7" name="240_Max_Min1" type="6" refreshedVersion="3" background="1">
    <textPr prompt="0" codePage="437" sourceFile="2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8" name="241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49" name="242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50" name="242_Max_Min" type="6" refreshedVersion="3" background="1">
    <textPr prompt="0" codePage="437" sourceFile="2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1" name="242_Max_Min_ scld_MAXDN" type="6" refreshedVersion="3" background="1">
    <textPr prompt="0" codePage="437" sourceFile="242_Max_Min_ scld_MAXD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2" name="242_Max_Min_ scld_XLogP" type="6" refreshedVersion="3" background="1">
    <textPr prompt="0" codePage="437" sourceFile="242_Max_Min_ scld_X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3" name="25" type="6" refreshedVersion="4" background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54" name="25_108_Max_Min" type="6" refreshedVersion="3" background="1">
    <textPr prompt="0" codePage="437" sourceFile="25_10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5" name="25_35_Max_Min" type="6" refreshedVersion="3" background="1">
    <textPr prompt="0" codePage="437" sourceFile="25_3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6" name="251" type="6" refreshedVersion="4" background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57" name="252" type="6" refreshedVersion="4" background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58" name="253_Max_Min" type="6" refreshedVersion="3" background="1">
    <textPr prompt="0" codePage="437" sourceFile="25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9" name="253_Max_Min_ scld_AMW" type="6" refreshedVersion="3" background="1">
    <textPr prompt="0" codePage="437" sourceFile="253_Max_Min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0" name="253_Max_Min_ scld_AMW_ scld_AMW" type="6" refreshedVersion="3" background="1">
    <textPr prompt="0" codePage="437" sourceFile="253_Max_Min_ scld_AMW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1" name="253_Max_Min_ scld_AMW_ scld_AMW_ scld_gmin" type="6" refreshedVersion="3" background="1">
    <textPr prompt="0" codePage="437" sourceFile="253_Max_Min_ scld_AMW_ scld_AMW_ scld_g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2" name="253_Max_Min_ scld_AMW_ scld_AMW_ scld_gmin_ scld_MLFER_S" type="6" refreshedVersion="3" background="1">
    <textPr prompt="0" codePage="437" sourceFile="253_Max_Min_ scld_AMW_ scld_AMW_ scld_gmin_ scld_MLFER_S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3" name="253_Max_Min1" type="6" refreshedVersion="3" background="1">
    <textPr prompt="0" codePage="437" sourceFile="25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4" name="26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65" name="26_109_Max_Min" type="6" refreshedVersion="3" background="1">
    <textPr prompt="0" codePage="437" sourceFile="26_10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6" name="26_36_Max_Min" type="6" refreshedVersion="3" background="1">
    <textPr prompt="0" codePage="437" sourceFile="26_3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7" name="26_711_26" type="6" refreshedVersion="4" background="1" saveData="1">
    <textPr prompt="0" codePage="437" sourceFile="C:\Users\omkar.pawar\Desktop\Logp\26_711_26.mol2" space="1" consecutive="1">
      <textFields count="5">
        <textField/>
        <textField/>
        <textField/>
        <textField/>
        <textField/>
      </textFields>
    </textPr>
  </connection>
  <connection id="568" name="26_711_26_morgan" type="6" refreshedVersion="4" background="1">
    <textPr prompt="0" codePage="437" sourceFile="C:\Users\omkar.pawar\Desktop\Trail\New folder\26_711_2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9" name="26_711_26_morgan_logp" type="6" refreshedVersion="4" background="1" saveData="1">
    <textPr prompt="0" codePage="437" sourceFile="C:\Users\omkar.pawar\Desktop\Logp\26_711_26_morgan_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0" name="26_711_26_morgan_logp1" type="6" refreshedVersion="4" background="1">
    <textPr prompt="0" codePage="437" sourceFile="C:\Users\omkar.pawar\Desktop\Logp\26_711_26_morgan_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1" name="26_711_26_morgan1" type="6" refreshedVersion="4" background="1" saveData="1">
    <textPr prompt="0" codePage="437" sourceFile="C:\Users\omkar.pawar\Desktop\Logp\26_711_26_morgan.dis" space="1" consecutive="1" delimiter=":">
      <textFields count="3">
        <textField/>
        <textField/>
        <textField/>
      </textFields>
    </textPr>
  </connection>
  <connection id="572" name="26_711_26_morgan2" type="6" refreshedVersion="4" background="1">
    <textPr prompt="0" codePage="437" sourceFile="C:\Users\omkar.pawar\Desktop\Logp\26_711_26_morgan.dis" space="1" consecutive="1" delimiter=":">
      <textFields count="3">
        <textField/>
        <textField/>
        <textField/>
      </textFields>
    </textPr>
  </connection>
  <connection id="573" name="26_711_26_morgan3" type="6" refreshedVersion="4" background="1">
    <textPr prompt="0" codePage="437" sourceFile="C:\Users\omkar.pawar\Desktop\Logp\26_711_26_morgan.dis" space="1" consecutive="1" delimiter=":">
      <textFields count="3">
        <textField/>
        <textField/>
        <textField/>
      </textFields>
    </textPr>
  </connection>
  <connection id="574" name="26_711_26_morgan4" type="6" refreshedVersion="4" background="1">
    <textPr prompt="0" codePage="437" sourceFile="C:\Users\omkar.pawar\Desktop\Logp\26_711_2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5" name="26_711_261" type="6" refreshedVersion="4" background="1" saveData="1">
    <textPr prompt="0" codePage="437" sourceFile="C:\Users\omkar.pawar\Desktop\Logp\26_711_26.mol2" space="1" consecutive="1">
      <textFields count="5">
        <textField/>
        <textField/>
        <textField/>
        <textField/>
        <textField/>
      </textFields>
    </textPr>
  </connection>
  <connection id="576" name="26_711_262" type="6" refreshedVersion="4" background="1" saveData="1">
    <textPr prompt="0" codePage="437" sourceFile="C:\Users\omkar.pawar\Desktop\Logp\26_711_26.mol2" space="1" consecutive="1">
      <textFields count="5">
        <textField/>
        <textField/>
        <textField/>
        <textField/>
        <textField/>
      </textFields>
    </textPr>
  </connection>
  <connection id="577" name="260_Max_Min" type="6" refreshedVersion="3" background="1">
    <textPr prompt="0" codePage="437" sourceFile="2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8" name="260_Max_Min_ scld_TopoPSA" type="6" refreshedVersion="3" background="1">
    <textPr prompt="0" codePage="437" sourceFile="260_Max_Min_ scld_TopoPS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9" name="260_Max_Min1" type="6" refreshedVersion="3" background="1">
    <textPr prompt="0" codePage="437" sourceFile="2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0" name="261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81" name="261_Max_Min" type="6" refreshedVersion="3" background="1">
    <textPr prompt="0" codePage="437" sourceFile="26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2" name="262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83" name="269_982_269_morgan" type="6" refreshedVersion="4" background="1">
    <textPr prompt="0" codePage="437" sourceFile="C:\Users\omkar.pawar\Desktop\Trail\New folder\269_982_26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4" name="27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85" name="27_110_Max_Min" type="6" refreshedVersion="3" background="1">
    <textPr prompt="0" codePage="437" sourceFile="27_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6" name="27_37_Max_Min" type="6" refreshedVersion="3" background="1">
    <textPr prompt="0" codePage="437" sourceFile="27_3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7" name="27_712_27_morgan" type="6" refreshedVersion="4" background="1">
    <textPr prompt="0" codePage="437" sourceFile="C:\Users\omkar.pawar\Desktop\Trail\New folder\27_712_2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8" name="27_712_27_morgan_logp" type="6" refreshedVersion="4" background="1">
    <textPr prompt="0" codePage="437" sourceFile="C:\Users\omkar.pawar\Desktop\Logp\27_712_27_morgan_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9" name="27_712_27_morgan1" type="6" refreshedVersion="4" background="1">
    <textPr prompt="0" codePage="437" sourceFile="C:\Users\omkar.pawar\Desktop\Logp\27_712_27_morgan.dis" space="1" consecutive="1" delimiter=":">
      <textFields count="3">
        <textField/>
        <textField/>
        <textField/>
      </textFields>
    </textPr>
  </connection>
  <connection id="590" name="27_712_27_morgan2" type="6" refreshedVersion="4" background="1">
    <textPr prompt="0" codePage="437" sourceFile="C:\Users\omkar.pawar\Desktop\Logp\27_712_27_morgan.dis" space="1" consecutive="1" delimiter=":">
      <textFields count="3">
        <textField/>
        <textField/>
        <textField/>
      </textFields>
    </textPr>
  </connection>
  <connection id="591" name="27_712_27_morgan3" type="6" refreshedVersion="4" background="1">
    <textPr prompt="0" codePage="437" sourceFile="C:\Users\omkar.pawar\Desktop\Logp\27_712_2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2" name="270_983_270_morgan" type="6" refreshedVersion="4" background="1">
    <textPr prompt="0" codePage="437" sourceFile="C:\Users\omkar.pawar\Desktop\Trail\New folder\270_983_27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3" name="271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94" name="272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595" name="273_Max_Min" type="6" refreshedVersion="3" background="1">
    <textPr prompt="0" codePage="437" sourceFile="27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6" name="273_Max_Min_ scld_AMW" type="6" refreshedVersion="3" background="1">
    <textPr prompt="0" codePage="437" sourceFile="273_Max_Min_ scld_AMW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7" name="273_Max_Min_ scld_AMW_ scld_meanI" type="6" refreshedVersion="3" background="1">
    <textPr prompt="0" codePage="437" sourceFile="273_Max_Min_ scld_AMW_ scld_meanI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8" name="273_Max_Min_ scld_ETA_Beta_s" type="6" refreshedVersion="3" background="1">
    <textPr prompt="0" codePage="437" sourceFile="273_Max_Min_ scld_ETA_Beta_s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9" name="273_Max_Min_ scld_ETA_Beta_s_ scld_McGowan_Volume" type="6" refreshedVersion="3" background="1">
    <textPr prompt="0" codePage="437" sourceFile="273_Max_Min_ scld_ETA_Beta_s_ scld_McGowan_Volume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0" name="274_989_274_morgan" type="6" refreshedVersion="4" background="1">
    <textPr prompt="0" codePage="437" sourceFile="C:\Users\omkar.pawar\Desktop\Trail\New folder\274_989_27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1" name="275_990_275_morgan" type="6" refreshedVersion="4" background="1">
    <textPr prompt="0" codePage="437" sourceFile="C:\Users\omkar.pawar\Desktop\Trail\New folder\275_990_27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2" name="276_991_276_morgan" type="6" refreshedVersion="4" background="1">
    <textPr prompt="0" codePage="437" sourceFile="C:\Users\omkar.pawar\Desktop\Trail\New folder\276_991_27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3" name="277_993_277_morgan" type="6" refreshedVersion="4" background="1">
    <textPr prompt="0" codePage="437" sourceFile="C:\Users\omkar.pawar\Desktop\Trail\New folder\277_993_27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4" name="278_994_278_morgan" type="6" refreshedVersion="4" background="1">
    <textPr prompt="0" codePage="437" sourceFile="C:\Users\omkar.pawar\Desktop\Trail\New folder\278_994_27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5" name="279_996_279_morgan" type="6" refreshedVersion="4" background="1">
    <textPr prompt="0" codePage="437" sourceFile="C:\Users\omkar.pawar\Desktop\Trail\New folder\279_996_27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6" name="28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607" name="28_112_Max_Min" type="6" refreshedVersion="3" background="1">
    <textPr prompt="0" codePage="437" sourceFile="28_1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8" name="28_38_Max_Min" type="6" refreshedVersion="3" background="1">
    <textPr prompt="0" codePage="437" sourceFile="28_3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9" name="28_714_28_morgan" type="6" refreshedVersion="4" background="1">
    <textPr prompt="0" codePage="437" sourceFile="C:\Users\omkar.pawar\Desktop\Trail\New folder\28_714_2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0" name="280_999_280_morgan" type="6" refreshedVersion="4" background="1">
    <textPr prompt="0" codePage="437" sourceFile="C:\Users\omkar.pawar\Desktop\Trail\New folder\280_999_28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1" name="280_Max_Min" type="6" refreshedVersion="3" background="1">
    <textPr prompt="0" codePage="437" sourceFile="28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2" name="280_Max_Min_ scld_LipoaffinityIndex" type="6" refreshedVersion="3" background="1">
    <textPr prompt="0" codePage="437" sourceFile="280_Max_Min_ scld_LipoaffinityIndex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3" name="280_Max_Min_ scld_MLFER_S" type="6" refreshedVersion="3" background="1">
    <textPr prompt="0" codePage="437" sourceFile="280_Max_Min_ scld_MLFER_S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4" name="280_Max_Min1" type="6" refreshedVersion="3" background="1">
    <textPr prompt="0" codePage="437" sourceFile="28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5" name="281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616" name="281_1000_281_morgan" type="6" refreshedVersion="4" background="1">
    <textPr prompt="0" codePage="437" sourceFile="C:\Users\omkar.pawar\Desktop\Trail\New folder\281_1000_28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7" name="282" type="6" refreshedVersion="4" background="1" saveData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618" name="283_1001_283_morgan" type="6" refreshedVersion="4" background="1">
    <textPr prompt="0" codePage="437" sourceFile="C:\Users\omkar.pawar\Desktop\Trail\New folder\283_1001_28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9" name="284_1002_284_morgan" type="6" refreshedVersion="4" background="1">
    <textPr prompt="0" codePage="437" sourceFile="C:\Users\omkar.pawar\Desktop\Trail\New folder\284_1002_28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0" name="285_1003_285_morgan" type="6" refreshedVersion="4" background="1">
    <textPr prompt="0" codePage="437" sourceFile="C:\Users\omkar.pawar\Desktop\Trail\New folder\285_1003_28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1" name="287_1005_287_morgan" type="6" refreshedVersion="4" background="1">
    <textPr prompt="0" codePage="437" sourceFile="C:\Users\omkar.pawar\Desktop\Trail\New folder\287_1005_28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2" name="29" type="6" refreshedVersion="4" background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623" name="29_115_Max_Min" type="6" refreshedVersion="3" background="1">
    <textPr prompt="0" codePage="437" sourceFile="29_1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4" name="29_39_Max_Min" type="6" refreshedVersion="3" background="1">
    <textPr prompt="0" codePage="437" sourceFile="29_3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5" name="291" type="6" refreshedVersion="4" background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626" name="292" type="6" refreshedVersion="4" background="1">
    <textPr prompt="0" codePage="437" sourceFile="E:\Vital\ITresearch\Morgan\2.mol2" space="1" consecutive="1">
      <textFields count="5">
        <textField/>
        <textField/>
        <textField/>
        <textField/>
        <textField/>
      </textFields>
    </textPr>
  </connection>
  <connection id="627" name="293_1012_293_morgan" type="6" refreshedVersion="4" background="1">
    <textPr prompt="0" codePage="437" sourceFile="C:\Users\omkar.pawar\Desktop\Trail\New folder\293_1012_29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8" name="297_1017_297_morgan" type="6" refreshedVersion="4" background="1">
    <textPr prompt="0" codePage="437" sourceFile="C:\Users\omkar.pawar\Desktop\Trail\New folder\297_1017_29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9" name="3_1607_morgan" type="6" refreshedVersion="4" background="1">
    <textPr prompt="0" codePage="437" sourceFile="E:\vitals\IT_developments\Excels\EVANS\trouble\Identified\3_160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0" name="3_1607_morgan1" type="6" refreshedVersion="4" background="1">
    <textPr prompt="0" codePage="437" sourceFile="E:\vitals\IT_developments\Excels\EVANS\trouble\Identified\3_160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1" name="3_1607_morgan2" type="6" refreshedVersion="4" background="1">
    <textPr prompt="0" codePage="437" sourceFile="E:\vitals\IT_developments\Excels\EVANS\trouble\Identified\3_160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2" name="3_1608_morgan" type="6" refreshedVersion="4" background="1">
    <textPr prompt="0" codePage="437" sourceFile="E:\vitals\IT_developments\Excels\EVANS\trouble\Identified\3_160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3" name="3_1608_morgan1" type="6" refreshedVersion="4" background="1">
    <textPr prompt="0" codePage="437" sourceFile="E:\vitals\IT_developments\Excels\EVANS\trouble\Identified\3_160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4" name="3_1608_morgan2" type="6" refreshedVersion="4" background="1">
    <textPr prompt="0" codePage="437" sourceFile="E:\vitals\IT_developments\Excels\EVANS\trouble\Identified\3_160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5" name="3_242_Max_Min" type="6" refreshedVersion="4" background="1">
    <textPr prompt="0" codePage="437" sourceFile="3_2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6" name="3_5_Max_Min" type="6" refreshedVersion="3" background="1">
    <textPr prompt="0" codePage="437" sourceFile="3_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7" name="3_5_Max_Min1" type="6" refreshedVersion="3" background="1">
    <textPr prompt="0" codePage="437" sourceFile="3_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8" name="3_Max_Min" type="6" refreshedVersion="4" background="1">
    <textPr prompt="0" codePage="437" sourceFile="R:\WORK\labwrk\work\rework\trial_atomicprops\validn_atomicdiagfill\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9" name="3_Max_Min_algP" type="6" refreshedVersion="4" background="1">
    <textPr prompt="0" codePage="437" sourceFile="R:\WORK\labwrk\work\rework\trial_atomicprops\validn_atomicdiagfill\3_Max_Min_al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0" name="3_Max_Min1" type="6" refreshedVersion="4" background="1">
    <textPr prompt="0" codePage="437" sourceFile="R:\WORK\labwrk\work\rework\trial_atomicprops\validn_atomicdiagfill\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1" name="3_Max_Min2" type="6" refreshedVersion="4" background="1">
    <textPr prompt="0" codePage="437" sourceFile="F:\validn_atomicdiagfill\prob_algP\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2" name="3_Max_Min3" type="6" refreshedVersion="4" background="1">
    <textPr prompt="0" codePage="437" sourceFile="F:\validn_atomicdiagfill\prob_algP\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3" name="30_116_Max_Min" type="6" refreshedVersion="3" background="1">
    <textPr prompt="0" codePage="437" sourceFile="30_1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4" name="30_40_Max_Min" type="6" refreshedVersion="3" background="1">
    <textPr prompt="0" codePage="437" sourceFile="30_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5" name="301_1019_301_morgan" type="6" refreshedVersion="4" background="1">
    <textPr prompt="0" codePage="437" sourceFile="C:\Users\omkar.pawar\Desktop\Trail\New folder\301_1019_30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6" name="303_1021_303_morgan" type="6" refreshedVersion="4" background="1">
    <textPr prompt="0" codePage="437" sourceFile="C:\Users\omkar.pawar\Desktop\Trail\New folder\303_1021_30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7" name="31_119_Max_Min" type="6" refreshedVersion="3" background="1">
    <textPr prompt="0" codePage="437" sourceFile="31_1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8" name="31_41_Max_Min" type="6" refreshedVersion="3" background="1">
    <textPr prompt="0" codePage="437" sourceFile="31_4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9" name="31_Max_Min" type="6" refreshedVersion="3" background="1">
    <textPr prompt="0" codePage="437" sourceFile="3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0" name="31_Max_Min1" type="6" refreshedVersion="3" background="1">
    <textPr prompt="0" codePage="437" sourceFile="3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1" name="313_1033_313_morgan" type="6" refreshedVersion="4" background="1">
    <textPr prompt="0" codePage="437" sourceFile="C:\Users\omkar.pawar\Desktop\Trail\New folder\313_1033_31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2" name="32_142_Max_Min" type="6" refreshedVersion="3" background="1">
    <textPr prompt="0" codePage="437" sourceFile="32_1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3" name="32_42_Max_Min" type="6" refreshedVersion="3" background="1">
    <textPr prompt="0" codePage="437" sourceFile="32_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4" name="32_716_32_morgan" type="6" refreshedVersion="4" background="1">
    <textPr prompt="0" codePage="437" sourceFile="C:\Users\omkar.pawar\Desktop\Trail\New folder\32_716_3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5" name="32_716_32_morgan_logp" type="6" refreshedVersion="4" background="1">
    <textPr prompt="0" codePage="437" sourceFile="C:\Users\omkar.pawar\Desktop\Logp\32_716_32_morgan_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6" name="32_716_32_morgan1" type="6" refreshedVersion="4" background="1">
    <textPr prompt="0" codePage="437" sourceFile="C:\Users\omkar.pawar\Desktop\Logp\32_716_32_morgan.dis" space="1" consecutive="1" delimiter=":">
      <textFields count="3">
        <textField/>
        <textField/>
        <textField/>
      </textFields>
    </textPr>
  </connection>
  <connection id="657" name="32_716_32_morgan2" type="6" refreshedVersion="4" background="1">
    <textPr prompt="0" codePage="437" sourceFile="C:\Users\omkar.pawar\Desktop\Logp\32_716_32_morgan.dis" space="1" consecutive="1" delimiter=":">
      <textFields count="3">
        <textField/>
        <textField/>
        <textField/>
      </textFields>
    </textPr>
  </connection>
  <connection id="658" name="32_716_32_morgan3" type="6" refreshedVersion="4" background="1">
    <textPr prompt="0" codePage="437" sourceFile="C:\Users\omkar.pawar\Desktop\Logp\32_716_3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9" name="32_Max_Min" type="6" refreshedVersion="3" background="1">
    <textPr prompt="0" codePage="437" sourceFile="3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0" name="321_1040_321_morgan" type="6" refreshedVersion="4" background="1">
    <textPr prompt="0" codePage="437" sourceFile="C:\Users\omkar.pawar\Desktop\Trail\New folder\321_1040_32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1" name="322_1042_322_morgan" type="6" refreshedVersion="4" background="1">
    <textPr prompt="0" codePage="437" sourceFile="C:\Users\omkar.pawar\Desktop\Trail\New folder\322_1042_32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2" name="323_1043_323_morgan" type="6" refreshedVersion="4" background="1">
    <textPr prompt="0" codePage="437" sourceFile="C:\Users\omkar.pawar\Desktop\Trail\New folder\323_1043_32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3" name="325_1045_325_morgan" type="6" refreshedVersion="4" background="1">
    <textPr prompt="0" codePage="437" sourceFile="C:\Users\omkar.pawar\Desktop\Trail\New folder\325_1045_32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4" name="33_144_Max_Min" type="6" refreshedVersion="3" background="1">
    <textPr prompt="0" codePage="437" sourceFile="33_14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5" name="33_43_Max_Min" type="6" refreshedVersion="3" background="1">
    <textPr prompt="0" codePage="437" sourceFile="33_4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6" name="33_Max_Min" type="6" refreshedVersion="3" background="1">
    <textPr prompt="0" codePage="437" sourceFile="3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7" name="331_1052_331_morgan" type="6" refreshedVersion="4" background="1">
    <textPr prompt="0" codePage="437" sourceFile="C:\Users\omkar.pawar\Desktop\Trail\New folder\331_1052_33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8" name="333_1054_333_morgan" type="6" refreshedVersion="4" background="1">
    <textPr prompt="0" codePage="437" sourceFile="C:\Users\omkar.pawar\Desktop\Trail\New folder\333_1054_33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9" name="335_1055_335_morgan" type="6" refreshedVersion="4" background="1">
    <textPr prompt="0" codePage="437" sourceFile="C:\Users\omkar.pawar\Desktop\Trail\New folder\335_1055_33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0" name="336_1056_336_morgan" type="6" refreshedVersion="4" background="1">
    <textPr prompt="0" codePage="437" sourceFile="C:\Users\omkar.pawar\Desktop\Trail\New folder\336_1056_33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1" name="337_1057_337_morgan" type="6" refreshedVersion="4" background="1">
    <textPr prompt="0" codePage="437" sourceFile="C:\Users\omkar.pawar\Desktop\Trail\New folder\337_1057_33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2" name="338_1058_338_morgan" type="6" refreshedVersion="4" background="1">
    <textPr prompt="0" codePage="437" sourceFile="C:\Users\omkar.pawar\Desktop\Trail\New folder\338_1058_33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3" name="339_1059_339_morgan" type="6" refreshedVersion="4" background="1">
    <textPr prompt="0" codePage="437" sourceFile="C:\Users\omkar.pawar\Desktop\Trail\New folder\339_1059_33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4" name="34_146_Max_Min" type="6" refreshedVersion="3" background="1">
    <textPr prompt="0" codePage="437" sourceFile="34_14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5" name="34_44_Max_Min" type="6" refreshedVersion="3" background="1">
    <textPr prompt="0" codePage="437" sourceFile="34_4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6" name="34_Max_Min" type="6" refreshedVersion="3" background="1">
    <textPr prompt="0" codePage="437" sourceFile="3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7" name="340_1060_340_morgan" type="6" refreshedVersion="4" background="1">
    <textPr prompt="0" codePage="437" sourceFile="C:\Users\omkar.pawar\Desktop\Trail\New folder\340_1060_34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8" name="341_1061_341_morgan" type="6" refreshedVersion="4" background="1">
    <textPr prompt="0" codePage="437" sourceFile="C:\Users\omkar.pawar\Desktop\Trail\New folder\341_1061_34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9" name="342_1062_342_morgan" type="6" refreshedVersion="4" background="1">
    <textPr prompt="0" codePage="437" sourceFile="C:\Users\omkar.pawar\Desktop\Trail\New folder\342_1062_34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0" name="343_1063_343_morgan" type="6" refreshedVersion="4" background="1">
    <textPr prompt="0" codePage="437" sourceFile="C:\Users\omkar.pawar\Desktop\Trail\New folder\343_1063_34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1" name="346_1064_346_morgan" type="6" refreshedVersion="4" background="1">
    <textPr prompt="0" codePage="437" sourceFile="C:\Users\omkar.pawar\Desktop\Trail\New folder\346_1064_34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2" name="35_151_Max_Min" type="6" refreshedVersion="3" background="1">
    <textPr prompt="0" codePage="437" sourceFile="35_15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3" name="35_47_Max_Min" type="6" refreshedVersion="3" background="1">
    <textPr prompt="0" codePage="437" sourceFile="35_4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4" name="35_Max_Min" type="6" refreshedVersion="3" background="1">
    <textPr prompt="0" codePage="437" sourceFile="3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5" name="350_1068_350_morgan" type="6" refreshedVersion="4" background="1">
    <textPr prompt="0" codePage="437" sourceFile="C:\Users\omkar.pawar\Desktop\Trail\New folder\350_1068_35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6" name="354_1075_354_morgan" type="6" refreshedVersion="4" background="1">
    <textPr prompt="0" codePage="437" sourceFile="C:\Users\omkar.pawar\Desktop\Trail\New folder\354_1075_35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7" name="359_1094_359_morgan" type="6" refreshedVersion="4" background="1">
    <textPr prompt="0" codePage="437" sourceFile="C:\Users\omkar.pawar\Desktop\Trail\New folder\359_1094_35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8" name="36_152_Max_Min" type="6" refreshedVersion="3" background="1">
    <textPr prompt="0" codePage="437" sourceFile="36_15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9" name="36_48_Max_Min" type="6" refreshedVersion="3" background="1">
    <textPr prompt="0" codePage="437" sourceFile="36_4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0" name="36_Max_Min" type="6" refreshedVersion="3" background="1">
    <textPr prompt="0" codePage="437" sourceFile="3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1" name="360_1095_360_morgan" type="6" refreshedVersion="4" background="1">
    <textPr prompt="0" codePage="437" sourceFile="C:\Users\omkar.pawar\Desktop\Trail\New folder\360_1095_36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2" name="361_1096_361_morgan" type="6" refreshedVersion="4" background="1">
    <textPr prompt="0" codePage="437" sourceFile="C:\Users\omkar.pawar\Desktop\Trail\New folder\361_1096_36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3" name="363_1098_363_morgan" type="6" refreshedVersion="4" background="1">
    <textPr prompt="0" codePage="437" sourceFile="C:\Users\omkar.pawar\Desktop\Trail\New folder\363_1098_36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4" name="364_1099_364_morgan" type="6" refreshedVersion="4" background="1">
    <textPr prompt="0" codePage="437" sourceFile="C:\Users\omkar.pawar\Desktop\Trail\New folder\364_1099_36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5" name="366_1101_366_morgan" type="6" refreshedVersion="4" background="1">
    <textPr prompt="0" codePage="437" sourceFile="C:\Users\omkar.pawar\Desktop\Trail\New folder\366_1101_36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6" name="369_1104_369_morgan" type="6" refreshedVersion="4" background="1">
    <textPr prompt="0" codePage="437" sourceFile="C:\Users\omkar.pawar\Desktop\Trail\New folder\369_1104_36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7" name="37_153_Max_Min" type="6" refreshedVersion="3" background="1">
    <textPr prompt="0" codePage="437" sourceFile="37_15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8" name="37_51_Max_Min" type="6" refreshedVersion="3" background="1">
    <textPr prompt="0" codePage="437" sourceFile="37_5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9" name="37_Max_Min" type="6" refreshedVersion="3" background="1">
    <textPr prompt="0" codePage="437" sourceFile="3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0" name="370_1105_370_morgan" type="6" refreshedVersion="4" background="1">
    <textPr prompt="0" codePage="437" sourceFile="C:\Users\omkar.pawar\Desktop\Trail\New folder\370_1105_37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1" name="371_1106_371_morgan" type="6" refreshedVersion="4" background="1">
    <textPr prompt="0" codePage="437" sourceFile="C:\Users\omkar.pawar\Desktop\Trail\New folder\371_1106_37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2" name="373_1108_373_morgan" type="6" refreshedVersion="4" background="1">
    <textPr prompt="0" codePage="437" sourceFile="C:\Users\omkar.pawar\Desktop\Trail\New folder\373_1108_37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3" name="374_1109_374_morgan" type="6" refreshedVersion="4" background="1">
    <textPr prompt="0" codePage="437" sourceFile="C:\Users\omkar.pawar\Desktop\Trail\New folder\374_1109_37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4" name="375_1110_375_morgan" type="6" refreshedVersion="4" background="1">
    <textPr prompt="0" codePage="437" sourceFile="C:\Users\omkar.pawar\Desktop\Trail\New folder\375_1110_37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5" name="38_156_Max_Min" type="6" refreshedVersion="3" background="1">
    <textPr prompt="0" codePage="437" sourceFile="38_15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6" name="38_54_Max_Min" type="6" refreshedVersion="3" background="1">
    <textPr prompt="0" codePage="437" sourceFile="38_5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7" name="38_Max_Min" type="6" refreshedVersion="3" background="1">
    <textPr prompt="0" codePage="437" sourceFile="3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8" name="382_1116_382_morgan" type="6" refreshedVersion="4" background="1">
    <textPr prompt="0" codePage="437" sourceFile="C:\Users\omkar.pawar\Desktop\Trail\New folder\382_1116_38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9" name="387_1132_387_morgan" type="6" refreshedVersion="4" background="1">
    <textPr prompt="0" codePage="437" sourceFile="C:\Users\omkar.pawar\Desktop\Trail\New folder\387_1132_38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0" name="389_1134_389_morgan" type="6" refreshedVersion="4" background="1">
    <textPr prompt="0" codePage="437" sourceFile="C:\Users\omkar.pawar\Desktop\Trail\New folder\389_1134_38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1" name="39_158_Max_Min" type="6" refreshedVersion="3" background="1">
    <textPr prompt="0" codePage="437" sourceFile="39_15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2" name="39_55_Max_Min" type="6" refreshedVersion="3" background="1">
    <textPr prompt="0" codePage="437" sourceFile="39_5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3" name="39_Max_Min" type="6" refreshedVersion="3" background="1">
    <textPr prompt="0" codePage="437" sourceFile="3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4" name="390_1136_390_morgan" type="6" refreshedVersion="4" background="1">
    <textPr prompt="0" codePage="437" sourceFile="C:\Users\omkar.pawar\Desktop\Trail\New folder\390_1136_39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5" name="391_1137_391_morgan" type="6" refreshedVersion="4" background="1">
    <textPr prompt="0" codePage="437" sourceFile="C:\Users\omkar.pawar\Desktop\Trail\New folder\391_1137_39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6" name="393_1139_393_morgan" type="6" refreshedVersion="4" background="1">
    <textPr prompt="0" codePage="437" sourceFile="C:\Users\omkar.pawar\Desktop\Trail\New folder\393_1139_39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7" name="394_1140_394_morgan" type="6" refreshedVersion="4" background="1">
    <textPr prompt="0" codePage="437" sourceFile="C:\Users\omkar.pawar\Desktop\Trail\New folder\394_1140_39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8" name="397_1143_397_morgan" type="6" refreshedVersion="4" background="1">
    <textPr prompt="0" codePage="437" sourceFile="C:\Users\omkar.pawar\Desktop\Trail\New folder\397_1143_39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9" name="398_1144_398_morgan" type="6" refreshedVersion="4" background="1">
    <textPr prompt="0" codePage="437" sourceFile="C:\Users\omkar.pawar\Desktop\Trail\New folder\398_1144_39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0" name="4_246_Max_Min" type="6" refreshedVersion="4" background="1">
    <textPr prompt="0" codePage="437" sourceFile="4_24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1" name="4_6_Max_Min" type="6" refreshedVersion="3" background="1">
    <textPr prompt="0" codePage="437" sourceFile="4_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2" name="4_6_Max_Min1" type="6" refreshedVersion="3" background="1">
    <textPr prompt="0" codePage="437" sourceFile="4_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3" name="4_685_4_morga" type="6" refreshedVersion="4" background="1">
    <textPr prompt="0" codePage="437" sourceFile="E:\vitals\IT_developments\Excels\matrix\coVar\4_685_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4" name="4_685_4_morga1" type="6" refreshedVersion="4" background="1">
    <textPr prompt="0" codePage="437" sourceFile="E:\vitals\IT_developments\Excels\matrix\coVar\4_685_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5" name="4_685_4_morga2" type="6" refreshedVersion="4" background="1">
    <textPr prompt="0" codePage="437" sourceFile="E:\vitals\IT_developments\Excels\matrix\coVar\matrixwithlabels\4_685_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6" name="4_685_4_morga3" type="6" refreshedVersion="4" background="1">
    <textPr prompt="0" codePage="437" sourceFile="E:\vitals\IT_developments\Excels\matrix\coVar\matrixwithlabels\4_685_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7" name="4_685_4_morga4" type="6" refreshedVersion="4" background="1">
    <textPr prompt="0" codePage="437" sourceFile="E:\vitals\IT_developments\Excels\matrix\coVar\matrixwithlabels\test\4_685_4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8" name="4_685_4_morgan" type="6" refreshedVersion="4" background="1">
    <textPr prompt="0" codePage="437" sourceFile="C:\Users\omkar.pawar\Desktop\Trail\New folder\4_685_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9" name="40_159_Max_Min" type="6" refreshedVersion="3" background="1">
    <textPr prompt="0" codePage="437" sourceFile="40_15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0" name="40_56_Max_Min" type="6" refreshedVersion="3" background="1">
    <textPr prompt="0" codePage="437" sourceFile="40_5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1" name="40_725_40_morgan" type="6" refreshedVersion="4" background="1">
    <textPr prompt="0" codePage="437" sourceFile="C:\Users\omkar.pawar\Desktop\Trail\New folder\40_725_4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2" name="40_Max_Min" type="6" refreshedVersion="3" background="1">
    <textPr prompt="0" codePage="437" sourceFile="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3" name="401_1148_401_morgan" type="6" refreshedVersion="4" background="1">
    <textPr prompt="0" codePage="437" sourceFile="C:\Users\omkar.pawar\Desktop\Trail\New folder\401_1148_40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4" name="403_1149_403_morgan" type="6" refreshedVersion="4" background="1">
    <textPr prompt="0" codePage="437" sourceFile="C:\Users\omkar.pawar\Desktop\Trail\New folder\403_1149_40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5" name="408_1154_408_morgan" type="6" refreshedVersion="4" background="1">
    <textPr prompt="0" codePage="437" sourceFile="C:\Users\omkar.pawar\Desktop\Trail\New folder\408_1154_40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6" name="409_1155_409_morgan" type="6" refreshedVersion="4" background="1">
    <textPr prompt="0" codePage="437" sourceFile="C:\Users\omkar.pawar\Desktop\Trail\New folder\409_1155_40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7" name="41_161_Max_Min" type="6" refreshedVersion="3" background="1">
    <textPr prompt="0" codePage="437" sourceFile="41_16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8" name="41_57_Max_Min" type="6" refreshedVersion="3" background="1">
    <textPr prompt="0" codePage="437" sourceFile="41_5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9" name="41_Max_Min" type="6" refreshedVersion="3" background="1">
    <textPr prompt="0" codePage="437" sourceFile="4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0" name="410_1157_410_morgan" type="6" refreshedVersion="4" background="1">
    <textPr prompt="0" codePage="437" sourceFile="C:\Users\omkar.pawar\Desktop\Trail\New folder\410_1157_41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1" name="411_1158_411_morgan" type="6" refreshedVersion="4" background="1">
    <textPr prompt="0" codePage="437" sourceFile="C:\Users\omkar.pawar\Desktop\Trail\New folder\411_1158_41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2" name="417_1163_417_morgan" type="6" refreshedVersion="4" background="1">
    <textPr prompt="0" codePage="437" sourceFile="C:\Users\omkar.pawar\Desktop\Trail\New folder\417_1163_41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3" name="42_163_Max_Min" type="6" refreshedVersion="3" background="1">
    <textPr prompt="0" codePage="437" sourceFile="42_16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4" name="42_58_Max_Min" type="6" refreshedVersion="3" background="1">
    <textPr prompt="0" codePage="437" sourceFile="42_5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5" name="42_Max_Min" type="6" refreshedVersion="3" background="1">
    <textPr prompt="0" codePage="437" sourceFile="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6" name="420_1165_420_morgan" type="6" refreshedVersion="4" background="1">
    <textPr prompt="0" codePage="437" sourceFile="C:\Users\omkar.pawar\Desktop\Trail\New folder\420_1165_42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7" name="422_1168_422_morgan" type="6" refreshedVersion="4" background="1">
    <textPr prompt="0" codePage="437" sourceFile="C:\Users\omkar.pawar\Desktop\Trail\New folder\422_1168_42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8" name="429_1175_429_morgan" type="6" refreshedVersion="4" background="1">
    <textPr prompt="0" codePage="437" sourceFile="C:\Users\omkar.pawar\Desktop\Trail\New folder\429_1175_42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9" name="43_164_Max_Min" type="6" refreshedVersion="3" background="1">
    <textPr prompt="0" codePage="437" sourceFile="43_16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0" name="43_59_Max_Min" type="6" refreshedVersion="3" background="1">
    <textPr prompt="0" codePage="437" sourceFile="43_5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1" name="43_Max_Min" type="6" refreshedVersion="3" background="1">
    <textPr prompt="0" codePage="437" sourceFile="4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2" name="437_1180_437_morgan" type="6" refreshedVersion="4" background="1">
    <textPr prompt="0" codePage="437" sourceFile="C:\Users\omkar.pawar\Desktop\Trail\New folder\437_1180_43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3" name="439_1182_439_morgan" type="6" refreshedVersion="4" background="1">
    <textPr prompt="0" codePage="437" sourceFile="C:\Users\omkar.pawar\Desktop\Trail\New folder\439_1182_43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4" name="44_166_Max_Min" type="6" refreshedVersion="3" background="1">
    <textPr prompt="0" codePage="437" sourceFile="44_16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5" name="44_60_Max_Min" type="6" refreshedVersion="3" background="1">
    <textPr prompt="0" codePage="437" sourceFile="44_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6" name="44_Max_Min" type="6" refreshedVersion="3" background="1">
    <textPr prompt="0" codePage="437" sourceFile="4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7" name="440_1183_440_morgan" type="6" refreshedVersion="4" background="1">
    <textPr prompt="0" codePage="437" sourceFile="C:\Users\omkar.pawar\Desktop\Trail\New folder\440_1183_44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8" name="441_1184_441_morgan" type="6" refreshedVersion="4" background="1">
    <textPr prompt="0" codePage="437" sourceFile="C:\Users\omkar.pawar\Desktop\Trail\New folder\441_1184_44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9" name="45_167_Max_Min" type="6" refreshedVersion="3" background="1">
    <textPr prompt="0" codePage="437" sourceFile="45_16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0" name="45_61_Max_Min" type="6" refreshedVersion="3" background="1">
    <textPr prompt="0" codePage="437" sourceFile="45_6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1" name="450_1192_450_morgan" type="6" refreshedVersion="4" background="1">
    <textPr prompt="0" codePage="437" sourceFile="C:\Users\omkar.pawar\Desktop\Trail\New folder\450_1192_45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2" name="451_1194_451_morgan" type="6" refreshedVersion="4" background="1">
    <textPr prompt="0" codePage="437" sourceFile="C:\Users\omkar.pawar\Desktop\Trail\New folder\451_1194_45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3" name="454_1195_454_morgan" type="6" refreshedVersion="4" background="1">
    <textPr prompt="0" codePage="437" sourceFile="C:\Users\omkar.pawar\Desktop\Trail\New folder\454_1195_45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4" name="459_1199_459_morgan" type="6" refreshedVersion="4" background="1">
    <textPr prompt="0" codePage="437" sourceFile="C:\Users\omkar.pawar\Desktop\Trail\New folder\459_1199_45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5" name="46_170_Max_Min" type="6" refreshedVersion="3" background="1">
    <textPr prompt="0" codePage="437" sourceFile="46_17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6" name="46_63_Max_Min" type="6" refreshedVersion="3" background="1">
    <textPr prompt="0" codePage="437" sourceFile="46_6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7" name="460_1200_460_morgan" type="6" refreshedVersion="4" background="1">
    <textPr prompt="0" codePage="437" sourceFile="C:\Users\omkar.pawar\Desktop\Trail\New folder\460_1200_46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8" name="461_1202_461_morgan" type="6" refreshedVersion="4" background="1">
    <textPr prompt="0" codePage="437" sourceFile="C:\Users\omkar.pawar\Desktop\Trail\New folder\461_1202_46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9" name="465_1205_465_morgan" type="6" refreshedVersion="4" background="1">
    <textPr prompt="0" codePage="437" sourceFile="C:\Users\omkar.pawar\Desktop\Trail\New folder\465_1205_46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0" name="466_1206_466_morgan" type="6" refreshedVersion="4" background="1">
    <textPr prompt="0" codePage="437" sourceFile="C:\Users\omkar.pawar\Desktop\Trail\New folder\466_1206_46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1" name="47_171_Max_Min" type="6" refreshedVersion="3" background="1">
    <textPr prompt="0" codePage="437" sourceFile="47_17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2" name="47_64_Max_Min" type="6" refreshedVersion="3" background="1">
    <textPr prompt="0" codePage="437" sourceFile="47_6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3" name="47_733_47_morgan" type="6" refreshedVersion="4" background="1">
    <textPr prompt="0" codePage="437" sourceFile="C:\Users\omkar.pawar\Desktop\Trail\New folder\47_733_4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4" name="47_Max_Min" type="6" refreshedVersion="3" background="1">
    <textPr prompt="0" codePage="437" sourceFile="4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5" name="470_1211_470_morgan" type="6" refreshedVersion="4" background="1">
    <textPr prompt="0" codePage="437" sourceFile="C:\Users\omkar.pawar\Desktop\Trail\New folder\470_1211_47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6" name="471_1214_471_morgan" type="6" refreshedVersion="4" background="1">
    <textPr prompt="0" codePage="437" sourceFile="C:\Users\omkar.pawar\Desktop\Trail\New folder\471_1214_47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7" name="472_1216_472_morgan" type="6" refreshedVersion="4" background="1">
    <textPr prompt="0" codePage="437" sourceFile="C:\Users\omkar.pawar\Desktop\Trail\New folder\472_1216_47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8" name="475_1218_475_morgan" type="6" refreshedVersion="4" background="1">
    <textPr prompt="0" codePage="437" sourceFile="C:\Users\omkar.pawar\Desktop\Trail\New folder\475_1218_47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9" name="477_1222_477_morgan" type="6" refreshedVersion="4" background="1">
    <textPr prompt="0" codePage="437" sourceFile="C:\Users\omkar.pawar\Desktop\Trail\New folder\477_1222_47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0" name="479_1224_479_morgan" type="6" refreshedVersion="4" background="1">
    <textPr prompt="0" codePage="437" sourceFile="C:\Users\omkar.pawar\Desktop\Trail\New folder\479_1224_47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1" name="48_172_Max_Min" type="6" refreshedVersion="3" background="1">
    <textPr prompt="0" codePage="437" sourceFile="48_17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2" name="48_68_Max_Min" type="6" refreshedVersion="3" background="1">
    <textPr prompt="0" codePage="437" sourceFile="48_6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3" name="48_Max_Min" type="6" refreshedVersion="3" background="1">
    <textPr prompt="0" codePage="437" sourceFile="4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4" name="483_1230_483_morgan" type="6" refreshedVersion="4" background="1">
    <textPr prompt="0" codePage="437" sourceFile="C:\Users\omkar.pawar\Desktop\Trail\New folder\483_1230_48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5" name="486_1232_486_morgan" type="6" refreshedVersion="4" background="1">
    <textPr prompt="0" codePage="437" sourceFile="C:\Users\omkar.pawar\Desktop\Trail\New folder\486_1232_48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6" name="489_1236_489_morgan" type="6" refreshedVersion="4" background="1">
    <textPr prompt="0" codePage="437" sourceFile="C:\Users\omkar.pawar\Desktop\Trail\New folder\489_1236_48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7" name="49_173_Max_Min" type="6" refreshedVersion="3" background="1">
    <textPr prompt="0" codePage="437" sourceFile="49_17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8" name="49_69_Max_Min" type="6" refreshedVersion="3" background="1">
    <textPr prompt="0" codePage="437" sourceFile="49_6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9" name="494_1240_494_morgan" type="6" refreshedVersion="4" background="1">
    <textPr prompt="0" codePage="437" sourceFile="C:\Users\omkar.pawar\Desktop\Trail\New folder\494_1240_49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0" name="495_1361_495_morgan" type="6" refreshedVersion="4" background="1">
    <textPr prompt="0" codePage="437" sourceFile="C:\Users\omkar.pawar\Desktop\Trail\New folder\495_1361_49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1" name="497_1242_497_morgan" type="6" refreshedVersion="4" background="1">
    <textPr prompt="0" codePage="437" sourceFile="C:\Users\omkar.pawar\Desktop\Trail\New folder\497_1242_49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2" name="5_1612_morgan" type="6" refreshedVersion="4" background="1">
    <textPr prompt="0" codePage="437" sourceFile="E:\vitals\IT_developments\Excels\EVANS\trouble\Identified\5_161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3" name="5_64ts_Max_Min" type="6" refreshedVersion="4" background="1">
    <textPr prompt="0" codePage="437" sourceFile="5_64ts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4" name="5_7_Max_Min" type="6" refreshedVersion="3" background="1">
    <textPr prompt="0" codePage="437" sourceFile="5_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5" name="5_7_Max_Min1" type="6" refreshedVersion="3" background="1">
    <textPr prompt="0" codePage="437" sourceFile="5_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6" name="5_Max_Min" type="6" refreshedVersion="4" background="1">
    <textPr prompt="0" codePage="437" sourceFile="R:\WORK\labwrk\work\rework\trial_atomicprops\validn_atomicdiagfill\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7" name="5_Max_Min_algP" type="6" refreshedVersion="4" background="1">
    <textPr prompt="0" codePage="437" sourceFile="R:\WORK\labwrk\work\rework\trial_atomicprops\validn_atomicdiagfill\5_Max_Min_al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8" name="5_Max_Min1" type="6" refreshedVersion="4" background="1">
    <textPr prompt="0" codePage="437" sourceFile="R:\WORK\labwrk\work\rework\trial_atomicprops\validn_atomicdiagfill\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9" name="5_Max_Min2" type="6" refreshedVersion="4" background="1">
    <textPr prompt="0" codePage="437" sourceFile="F:\validn_atomicdiagfill\prob_algP\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0" name="5_Max_Min3" type="6" refreshedVersion="4" background="1">
    <textPr prompt="0" codePage="437" sourceFile="F:\validn_atomicdiagfill\prob_algP\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1" name="50_174_Max_Min" type="6" refreshedVersion="3" background="1">
    <textPr prompt="0" codePage="437" sourceFile="50_17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2" name="50_70_Max_Min" type="6" refreshedVersion="3" background="1">
    <textPr prompt="0" codePage="437" sourceFile="50_7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3" name="502_1246_502_morgan" type="6" refreshedVersion="4" background="1">
    <textPr prompt="0" codePage="437" sourceFile="C:\Users\omkar.pawar\Desktop\Trail\New folder\502_1246_50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4" name="508_1256_508_morgan" type="6" refreshedVersion="4" background="1">
    <textPr prompt="0" codePage="437" sourceFile="C:\Users\omkar.pawar\Desktop\Trail\New folder\508_1256_50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5" name="51_176_Max_Min" type="6" refreshedVersion="3" background="1">
    <textPr prompt="0" codePage="437" sourceFile="51_17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6" name="51_72_Max_Min" type="6" refreshedVersion="3" background="1">
    <textPr prompt="0" codePage="437" sourceFile="51_7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7" name="51_Max_Min" type="6" refreshedVersion="3" background="1">
    <textPr prompt="0" codePage="437" sourceFile="5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8" name="51_Max_Min1" type="6" refreshedVersion="3" background="1">
    <textPr prompt="0" codePage="437" sourceFile="5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9" name="513_1262_513_morgan" type="6" refreshedVersion="4" background="1">
    <textPr prompt="0" codePage="437" sourceFile="C:\Users\omkar.pawar\Desktop\Trail\New folder\513_1262_51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0" name="517_1265_517_morgan" type="6" refreshedVersion="4" background="1">
    <textPr prompt="0" codePage="437" sourceFile="C:\Users\omkar.pawar\Desktop\Trail\New folder\517_1265_51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1" name="518_1266_518_morgan" type="6" refreshedVersion="4" background="1">
    <textPr prompt="0" codePage="437" sourceFile="C:\Users\omkar.pawar\Desktop\Trail\New folder\518_1266_51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2" name="519_1267_519_morgan" type="6" refreshedVersion="4" background="1">
    <textPr prompt="0" codePage="437" sourceFile="C:\Users\omkar.pawar\Desktop\Trail\New folder\519_1267_51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3" name="52_177_Max_Min" type="6" refreshedVersion="3" background="1">
    <textPr prompt="0" codePage="437" sourceFile="52_17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4" name="52_73_Max_Min" type="6" refreshedVersion="3" background="1">
    <textPr prompt="0" codePage="437" sourceFile="52_7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5" name="520_1268_520_morgan" type="6" refreshedVersion="4" background="1">
    <textPr prompt="0" codePage="437" sourceFile="C:\Users\omkar.pawar\Desktop\Trail\New folder\520_1268_52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6" name="527_1272_527_morgan" type="6" refreshedVersion="4" background="1">
    <textPr prompt="0" codePage="437" sourceFile="C:\Users\omkar.pawar\Desktop\Trail\New folder\527_1272_52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7" name="53_179_Max_Min" type="6" refreshedVersion="3" background="1">
    <textPr prompt="0" codePage="437" sourceFile="53_17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8" name="53_74_Max_Min" type="6" refreshedVersion="3" background="1">
    <textPr prompt="0" codePage="437" sourceFile="53_7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9" name="530_1275_530_morgan" type="6" refreshedVersion="4" background="1">
    <textPr prompt="0" codePage="437" sourceFile="C:\Users\omkar.pawar\Desktop\Trail\New folder\530_1275_53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0" name="539_1287_539_morgan" type="6" refreshedVersion="4" background="1">
    <textPr prompt="0" codePage="437" sourceFile="C:\Users\omkar.pawar\Desktop\Trail\New folder\539_1287_53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1" name="54_182_Max_Min" type="6" refreshedVersion="3" background="1">
    <textPr prompt="0" codePage="437" sourceFile="54_18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2" name="54_75_Max_Min" type="6" refreshedVersion="3" background="1">
    <textPr prompt="0" codePage="437" sourceFile="54_7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3" name="54_Max_Min" type="6" refreshedVersion="3" background="1">
    <textPr prompt="0" codePage="437" sourceFile="5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4" name="540_1288_540_morgan" type="6" refreshedVersion="4" background="1">
    <textPr prompt="0" codePage="437" sourceFile="C:\Users\omkar.pawar\Desktop\Trail\New folder\540_1288_54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5" name="541_1290_541_morgan" type="6" refreshedVersion="4" background="1">
    <textPr prompt="0" codePage="437" sourceFile="C:\Users\omkar.pawar\Desktop\Trail\New folder\541_1290_54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6" name="544_1292_544_morgan" type="6" refreshedVersion="4" background="1">
    <textPr prompt="0" codePage="437" sourceFile="C:\Users\omkar.pawar\Desktop\Trail\New folder\544_1292_54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7" name="549_1297_549_morgan" type="6" refreshedVersion="4" background="1">
    <textPr prompt="0" codePage="437" sourceFile="C:\Users\omkar.pawar\Desktop\Trail\New folder\549_1297_54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8" name="55_184_Max_Min" type="6" refreshedVersion="3" background="1">
    <textPr prompt="0" codePage="437" sourceFile="55_18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9" name="55_76_Max_Min" type="6" refreshedVersion="3" background="1">
    <textPr prompt="0" codePage="437" sourceFile="55_7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0" name="55_Max_Min" type="6" refreshedVersion="3" background="1">
    <textPr prompt="0" codePage="437" sourceFile="5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1" name="550_1298_550_morgan" type="6" refreshedVersion="4" background="1">
    <textPr prompt="0" codePage="437" sourceFile="C:\Users\omkar.pawar\Desktop\Trail\New folder\550_1298_55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2" name="551_1299_551_morgan" type="6" refreshedVersion="4" background="1">
    <textPr prompt="0" codePage="437" sourceFile="C:\Users\omkar.pawar\Desktop\Trail\New folder\551_1299_55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3" name="552_1301_552_morgan" type="6" refreshedVersion="4" background="1">
    <textPr prompt="0" codePage="437" sourceFile="C:\Users\omkar.pawar\Desktop\Trail\New folder\552_1301_55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4" name="553_1305_553_morgan" type="6" refreshedVersion="4" background="1">
    <textPr prompt="0" codePage="437" sourceFile="C:\Users\omkar.pawar\Desktop\Trail\New folder\553_1305_55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5" name="558_1312_558_morgan" type="6" refreshedVersion="4" background="1">
    <textPr prompt="0" codePage="437" sourceFile="C:\Users\omkar.pawar\Desktop\Trail\New folder\558_1312_55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6" name="56_185_Max_Min" type="6" refreshedVersion="3" background="1">
    <textPr prompt="0" codePage="437" sourceFile="56_18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7" name="56_77_Max_Min" type="6" refreshedVersion="3" background="1">
    <textPr prompt="0" codePage="437" sourceFile="56_7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8" name="56_Max_Min" type="6" refreshedVersion="3" background="1">
    <textPr prompt="0" codePage="437" sourceFile="5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9" name="561_1315_561_morgan" type="6" refreshedVersion="4" background="1">
    <textPr prompt="0" codePage="437" sourceFile="C:\Users\omkar.pawar\Desktop\Trail\New folder\561_1315_56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0" name="565_1316_565_morgan" type="6" refreshedVersion="4" background="1">
    <textPr prompt="0" codePage="437" sourceFile="C:\Users\omkar.pawar\Desktop\Trail\New folder\565_1316_565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1" name="569_1320_569_morgan" type="6" refreshedVersion="4" background="1">
    <textPr prompt="0" codePage="437" sourceFile="C:\Users\omkar.pawar\Desktop\Trail\New folder\569_1320_56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2" name="57_186_Max_Min" type="6" refreshedVersion="3" background="1">
    <textPr prompt="0" codePage="437" sourceFile="57_18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3" name="57_78_Max_Min" type="6" refreshedVersion="3" background="1">
    <textPr prompt="0" codePage="437" sourceFile="57_7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4" name="57_Max_Min" type="6" refreshedVersion="3" background="1">
    <textPr prompt="0" codePage="437" sourceFile="5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5" name="570_1321_570_morgan" type="6" refreshedVersion="4" background="1">
    <textPr prompt="0" codePage="437" sourceFile="C:\Users\omkar.pawar\Desktop\Trail\New folder\570_1321_57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6" name="573_1324_573_morgan" type="6" refreshedVersion="4" background="1">
    <textPr prompt="0" codePage="437" sourceFile="C:\Users\omkar.pawar\Desktop\Trail\New folder\573_1324_57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7" name="574_1326_574_morgan" type="6" refreshedVersion="4" background="1">
    <textPr prompt="0" codePage="437" sourceFile="C:\Users\omkar.pawar\Desktop\Trail\New folder\574_1326_57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8" name="576_1329_576_morgan" type="6" refreshedVersion="4" background="1">
    <textPr prompt="0" codePage="437" sourceFile="C:\Users\omkar.pawar\Desktop\Trail\New folder\576_1329_57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9" name="578_1333_578_morgan" type="6" refreshedVersion="4" background="1">
    <textPr prompt="0" codePage="437" sourceFile="C:\Users\omkar.pawar\Desktop\Trail\New folder\578_1333_57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0" name="579_1334_579_morgan" type="6" refreshedVersion="4" background="1">
    <textPr prompt="0" codePage="437" sourceFile="C:\Users\omkar.pawar\Desktop\Trail\New folder\579_1334_57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1" name="58_187_Max_Min" type="6" refreshedVersion="3" background="1">
    <textPr prompt="0" codePage="437" sourceFile="58_18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2" name="58_79_Max_Min" type="6" refreshedVersion="3" background="1">
    <textPr prompt="0" codePage="437" sourceFile="58_7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3" name="58_Max_Min" type="6" refreshedVersion="3" background="1">
    <textPr prompt="0" codePage="437" sourceFile="5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4" name="582_1336_582_morgan" type="6" refreshedVersion="4" background="1">
    <textPr prompt="0" codePage="437" sourceFile="C:\Users\omkar.pawar\Desktop\Trail\New folder\582_1336_58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5" name="589_1341_589_morgan" type="6" refreshedVersion="4" background="1">
    <textPr prompt="0" codePage="437" sourceFile="C:\Users\omkar.pawar\Desktop\Trail\New folder\589_1341_58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6" name="59_188_Max_Min" type="6" refreshedVersion="3" background="1">
    <textPr prompt="0" codePage="437" sourceFile="59_18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7" name="59_80_Max_Min" type="6" refreshedVersion="3" background="1">
    <textPr prompt="0" codePage="437" sourceFile="59_8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8" name="59_Max_Min" type="6" refreshedVersion="3" background="1">
    <textPr prompt="0" codePage="437" sourceFile="5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9" name="590_1342_590_morgan" type="6" refreshedVersion="4" background="1">
    <textPr prompt="0" codePage="437" sourceFile="C:\Users\omkar.pawar\Desktop\Trail\New folder\590_1342_59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0" name="594_1346_594_morgan" type="6" refreshedVersion="4" background="1">
    <textPr prompt="0" codePage="437" sourceFile="C:\Users\omkar.pawar\Desktop\Trail\New folder\594_1346_59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1" name="596_1347_596_morgan" type="6" refreshedVersion="4" background="1">
    <textPr prompt="0" codePage="437" sourceFile="C:\Users\omkar.pawar\Desktop\Trail\New folder\596_1347_596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2" name="597_1348_597_morgan" type="6" refreshedVersion="4" background="1">
    <textPr prompt="0" codePage="437" sourceFile="C:\Users\omkar.pawar\Desktop\Trail\New folder\597_1348_59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3" name="599_1351_599_morgan" type="6" refreshedVersion="4" background="1">
    <textPr prompt="0" codePage="437" sourceFile="C:\Users\omkar.pawar\Desktop\Trail\New folder\599_1351_59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4" name="6_1618_morgan" type="6" refreshedVersion="4" background="1">
    <textPr prompt="0" codePage="437" sourceFile="E:\vitals\IT_developments\Excels\EVANS\trouble\Identified\6_161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5" name="6_687_6_morga" type="6" refreshedVersion="4" background="1">
    <textPr prompt="0" codePage="437" sourceFile="E:\vitals\IT_developments\Excels\matrix\coVar\6_687_6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6" name="6_687_6_morga1" type="6" refreshedVersion="4" background="1">
    <textPr prompt="0" codePage="437" sourceFile="E:\vitals\IT_developments\Excels\matrix\coVar\6_687_6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7" name="6_687_6_morga2" type="6" refreshedVersion="4" background="1">
    <textPr prompt="0" codePage="437" sourceFile="E:\vitals\IT_developments\Excels\matrix\coVar\matrixwithlabels\6_687_6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8" name="6_687_6_morga3" type="6" refreshedVersion="4" background="1">
    <textPr prompt="0" codePage="437" sourceFile="E:\vitals\IT_developments\Excels\matrix\coVar\matrixwithlabels\6_687_6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9" name="6_687_6_morga4" type="6" refreshedVersion="4" background="1">
    <textPr prompt="0" codePage="437" sourceFile="E:\vitals\IT_developments\Excels\matrix\coVar\matrixwithlabels\test\6_687_6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0" name="6_8_Max_Min" type="6" refreshedVersion="3" background="1">
    <textPr prompt="0" codePage="437" sourceFile="6_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1" name="6_8_Max_Min1" type="6" refreshedVersion="3" background="1">
    <textPr prompt="0" codePage="437" sourceFile="6_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2" name="6_Max_Min" type="6" refreshedVersion="4" background="1">
    <textPr prompt="0" codePage="437" sourceFile="R:\WORK\labwrk\work\rework\trial_atomicprops\validn_atomicdiagfill\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3" name="6_Max_Min_algP" type="6" refreshedVersion="4" background="1">
    <textPr prompt="0" codePage="437" sourceFile="R:\WORK\labwrk\work\rework\trial_atomicprops\validn_atomicdiagfill\6_Max_Min_al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4" name="6_Max_Min1" type="6" refreshedVersion="4" background="1">
    <textPr prompt="0" codePage="437" sourceFile="R:\WORK\labwrk\work\rework\trial_atomicprops\validn_atomicdiagfill\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5" name="6_Max_Min2" type="6" refreshedVersion="4" background="1">
    <textPr prompt="0" codePage="437" sourceFile="F:\validn_atomicdiagfill\prob_algP\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6" name="6_Max_Min3" type="6" refreshedVersion="4" background="1">
    <textPr prompt="0" codePage="437" sourceFile="F:\validn_atomicdiagfill\prob_algP\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7" name="60_191_Max_Min" type="6" refreshedVersion="3" background="1">
    <textPr prompt="0" codePage="437" sourceFile="60_19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8" name="60_81_Max_Min" type="6" refreshedVersion="3" background="1">
    <textPr prompt="0" codePage="437" sourceFile="60_8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9" name="60_Max_Min" type="6" refreshedVersion="3" background="1">
    <textPr prompt="0" codePage="437" sourceFile="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0" name="60_Max_Min1" type="6" refreshedVersion="3" background="1">
    <textPr prompt="0" codePage="437" sourceFile="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1" name="609_1358_609_morgan" type="6" refreshedVersion="4" background="1">
    <textPr prompt="0" codePage="437" sourceFile="C:\Users\omkar.pawar\Desktop\Trail\New folder\609_1358_609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2" name="61_192_Max_Min" type="6" refreshedVersion="3" background="1">
    <textPr prompt="0" codePage="437" sourceFile="61_19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3" name="61_83_Max_Min" type="6" refreshedVersion="3" background="1">
    <textPr prompt="0" codePage="437" sourceFile="61_8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4" name="61_Max_Min" type="6" refreshedVersion="3" background="1">
    <textPr prompt="0" codePage="437" sourceFile="6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5" name="612_1359_612_morgan" type="6" refreshedVersion="4" background="1">
    <textPr prompt="0" codePage="437" sourceFile="C:\Users\omkar.pawar\Desktop\Trail\New folder\612_1359_61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6" name="613_1360_613_morgan" type="6" refreshedVersion="4" background="1">
    <textPr prompt="0" codePage="437" sourceFile="C:\Users\omkar.pawar\Desktop\Trail\New folder\613_1360_61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7" name="62_193_Max_Min" type="6" refreshedVersion="3" background="1">
    <textPr prompt="0" codePage="437" sourceFile="62_19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8" name="62_84_Max_Min" type="6" refreshedVersion="3" background="1">
    <textPr prompt="0" codePage="437" sourceFile="62_8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9" name="63_195_Max_Min" type="6" refreshedVersion="3" background="1">
    <textPr prompt="0" codePage="437" sourceFile="63_19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0" name="63_85_Max_Min" type="6" refreshedVersion="3" background="1">
    <textPr prompt="0" codePage="437" sourceFile="63_8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1" name="63_Max_Min" type="6" refreshedVersion="3" background="1">
    <textPr prompt="0" codePage="437" sourceFile="6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2" name="64_196_Max_Min" type="6" refreshedVersion="3" background="1">
    <textPr prompt="0" codePage="437" sourceFile="64_19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3" name="64_86_Max_Min" type="6" refreshedVersion="3" background="1">
    <textPr prompt="0" codePage="437" sourceFile="64_8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4" name="64_Max_Min" type="6" refreshedVersion="3" background="1">
    <textPr prompt="0" codePage="437" sourceFile="6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5" name="65_198_Max_Min" type="6" refreshedVersion="3" background="1">
    <textPr prompt="0" codePage="437" sourceFile="65_19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6" name="65_87_Max_Min" type="6" refreshedVersion="3" background="1">
    <textPr prompt="0" codePage="437" sourceFile="65_8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7" name="66_204_Max_Min" type="6" refreshedVersion="3" background="1">
    <textPr prompt="0" codePage="437" sourceFile="66_20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8" name="66_89_Max_Min" type="6" refreshedVersion="3" background="1">
    <textPr prompt="0" codePage="437" sourceFile="66_8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9" name="67_205_Max_Min" type="6" refreshedVersion="3" background="1">
    <textPr prompt="0" codePage="437" sourceFile="67_20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0" name="67_752_67_morgan" type="6" refreshedVersion="4" background="1">
    <textPr prompt="0" codePage="437" sourceFile="C:\Users\omkar.pawar\Desktop\Trail\New folder\67_752_6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1" name="67_90_Max_Min" type="6" refreshedVersion="3" background="1">
    <textPr prompt="0" codePage="437" sourceFile="67_9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2" name="68_206_Max_Min" type="6" refreshedVersion="3" background="1">
    <textPr prompt="0" codePage="437" sourceFile="68_20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3" name="68_93_Max_Min" type="6" refreshedVersion="3" background="1">
    <textPr prompt="0" codePage="437" sourceFile="68_9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4" name="68_Max_Min" type="6" refreshedVersion="3" background="1">
    <textPr prompt="0" codePage="437" sourceFile="6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5" name="69_207_Max_Min" type="6" refreshedVersion="3" background="1">
    <textPr prompt="0" codePage="437" sourceFile="69_20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6" name="69_94_Max_Min" type="6" refreshedVersion="3" background="1">
    <textPr prompt="0" codePage="437" sourceFile="69_9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7" name="69_Max_Min" type="6" refreshedVersion="3" background="1">
    <textPr prompt="0" codePage="437" sourceFile="6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8" name="7_1620_morgan" type="6" refreshedVersion="4" background="1">
    <textPr prompt="0" codePage="437" sourceFile="E:\vitals\IT_developments\Excels\EVANS\trouble\Identified\7_162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9" name="7_688_7_morga" type="6" refreshedVersion="4" background="1">
    <textPr prompt="0" codePage="437" sourceFile="E:\vitals\IT_developments\Excels\matrix\coVar\7_688_7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0" name="7_688_7_morga1" type="6" refreshedVersion="4" background="1">
    <textPr prompt="0" codePage="437" sourceFile="E:\vitals\IT_developments\Excels\matrix\coVar\7_688_7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1" name="7_688_7_morga2" type="6" refreshedVersion="4" background="1">
    <textPr prompt="0" codePage="437" sourceFile="E:\vitals\IT_developments\Excels\matrix\coVar\matrixwithlabels\7_688_7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2" name="7_688_7_morga3" type="6" refreshedVersion="4" background="1">
    <textPr prompt="0" codePage="437" sourceFile="E:\vitals\IT_developments\Excels\matrix\coVar\matrixwithlabels\7_688_7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3" name="7_688_7_morga4" type="6" refreshedVersion="4" background="1">
    <textPr prompt="0" codePage="437" sourceFile="E:\vitals\IT_developments\Excels\matrix\coVar\matrixwithlabels\test\7_688_7_morga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4" name="7_688_7_morgan" type="6" refreshedVersion="4" background="1">
    <textPr prompt="0" codePage="437" sourceFile="C:\Users\omkar.pawar\Desktop\Trail\New folder\7_688_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5" name="7_9_Max_Min" type="6" refreshedVersion="3" background="1">
    <textPr prompt="0" codePage="437" sourceFile="7_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6" name="7_9_Max_Min1" type="6" refreshedVersion="3" background="1">
    <textPr prompt="0" codePage="437" sourceFile="7_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7" name="7_Max_Min" type="6" refreshedVersion="4" background="1">
    <textPr prompt="0" codePage="437" sourceFile="R:\WORK\labwrk\work\rework\trial_atomicprops\validn_atomicdiagfill\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8" name="7_Max_Min_algP" type="6" refreshedVersion="4" background="1">
    <textPr prompt="0" codePage="437" sourceFile="R:\WORK\labwrk\work\rework\trial_atomicprops\validn_atomicdiagfill\7_Max_Min_al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9" name="7_Max_Min1" type="6" refreshedVersion="4" background="1">
    <textPr prompt="0" codePage="437" sourceFile="R:\WORK\labwrk\work\rework\trial_atomicprops\validn_atomicdiagfill\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0" name="7_Max_Min2" type="6" refreshedVersion="4" background="1">
    <textPr prompt="0" codePage="437" sourceFile="F:\validn_atomicdiagfill\prob_algP\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1" name="70_208_Max_Min" type="6" refreshedVersion="3" background="1">
    <textPr prompt="0" codePage="437" sourceFile="70_20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2" name="70_97_Max_Min" type="6" refreshedVersion="3" background="1">
    <textPr prompt="0" codePage="437" sourceFile="70_9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3" name="70_Max_Min" type="6" refreshedVersion="3" background="1">
    <textPr prompt="0" codePage="437" sourceFile="7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4" name="70_Max_Min1" type="6" refreshedVersion="3" background="1">
    <textPr prompt="0" codePage="437" sourceFile="7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5" name="71_209_Max_Min" type="6" refreshedVersion="3" background="1">
    <textPr prompt="0" codePage="437" sourceFile="71_20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6" name="71_98_Max_Min" type="6" refreshedVersion="3" background="1">
    <textPr prompt="0" codePage="437" sourceFile="71_9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7" name="72_100_Max_Min" type="6" refreshedVersion="3" background="1">
    <textPr prompt="0" codePage="437" sourceFile="72_10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8" name="72_210_Max_Min" type="6" refreshedVersion="3" background="1">
    <textPr prompt="0" codePage="437" sourceFile="72_2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9" name="72_Max_Min" type="6" refreshedVersion="3" background="1">
    <textPr prompt="0" codePage="437" sourceFile="7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0" name="73_101_Max_Min" type="6" refreshedVersion="3" background="1">
    <textPr prompt="0" codePage="437" sourceFile="73_10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1" name="73_212_Max_Min" type="6" refreshedVersion="3" background="1">
    <textPr prompt="0" codePage="437" sourceFile="73_2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2" name="73_Max_Min" type="6" refreshedVersion="3" background="1">
    <textPr prompt="0" codePage="437" sourceFile="7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3" name="74_104_Max_Min" type="6" refreshedVersion="3" background="1">
    <textPr prompt="0" codePage="437" sourceFile="74_10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4" name="74_215_Max_Min" type="6" refreshedVersion="3" background="1">
    <textPr prompt="0" codePage="437" sourceFile="74_2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5" name="74_Max_Min" type="6" refreshedVersion="3" background="1">
    <textPr prompt="0" codePage="437" sourceFile="7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6" name="75_105_Max_Min" type="6" refreshedVersion="3" background="1">
    <textPr prompt="0" codePage="437" sourceFile="75_10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7" name="75_216_Max_Min" type="6" refreshedVersion="3" background="1">
    <textPr prompt="0" codePage="437" sourceFile="75_2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8" name="75_Max_Min" type="6" refreshedVersion="3" background="1">
    <textPr prompt="0" codePage="437" sourceFile="7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9" name="76_106_Max_Min" type="6" refreshedVersion="3" background="1">
    <textPr prompt="0" codePage="437" sourceFile="76_10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0" name="76_218_Max_Min" type="6" refreshedVersion="3" background="1">
    <textPr prompt="0" codePage="437" sourceFile="76_21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1" name="76_Max_Min" type="6" refreshedVersion="3" background="1">
    <textPr prompt="0" codePage="437" sourceFile="7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2" name="77_107_Max_Min" type="6" refreshedVersion="3" background="1">
    <textPr prompt="0" codePage="437" sourceFile="77_10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3" name="77_219_Max_Min" type="6" refreshedVersion="3" background="1">
    <textPr prompt="0" codePage="437" sourceFile="77_2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4" name="77_Max_Min" type="6" refreshedVersion="3" background="1">
    <textPr prompt="0" codePage="437" sourceFile="7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5" name="78_108_Max_Min" type="6" refreshedVersion="3" background="1">
    <textPr prompt="0" codePage="437" sourceFile="78_10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6" name="78_222_Max_Min" type="6" refreshedVersion="3" background="1">
    <textPr prompt="0" codePage="437" sourceFile="78_22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7" name="78_Max_Min" type="6" refreshedVersion="3" background="1">
    <textPr prompt="0" codePage="437" sourceFile="7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8" name="79_109_Max_Min" type="6" refreshedVersion="3" background="1">
    <textPr prompt="0" codePage="437" sourceFile="79_10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9" name="79_223_Max_Min" type="6" refreshedVersion="3" background="1">
    <textPr prompt="0" codePage="437" sourceFile="79_22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0" name="79_Max_Min" type="6" refreshedVersion="3" background="1">
    <textPr prompt="0" codePage="437" sourceFile="7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1" name="8_10_Max_Min" type="6" refreshedVersion="3" background="1">
    <textPr prompt="0" codePage="437" sourceFile="8_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2" name="8_10_Max_Min1" type="6" refreshedVersion="3" background="1">
    <textPr prompt="0" codePage="437" sourceFile="8_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3" name="8_1622_morgan" type="6" refreshedVersion="4" background="1">
    <textPr prompt="0" codePage="437" sourceFile="E:\vitals\IT_developments\Excels\EVANS\trouble\Identified\8_162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4" name="8_Max_Min" type="6" refreshedVersion="4" background="1">
    <textPr prompt="0" codePage="437" sourceFile="R:\WORK\labwrk\work\rework\trial_atomicprops\validn_atomicdiagfill\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5" name="8_Max_Min_algP" type="6" refreshedVersion="4" background="1">
    <textPr prompt="0" codePage="437" sourceFile="R:\WORK\labwrk\work\rework\trial_atomicprops\validn_atomicdiagfill\8_Max_Min_al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6" name="8_Max_Min1" type="6" refreshedVersion="4" background="1">
    <textPr prompt="0" codePage="437" sourceFile="R:\WORK\labwrk\work\rework\trial_atomicprops\validn_atomicdiagfill\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7" name="8_Max_Min2" type="6" refreshedVersion="4" background="1">
    <textPr prompt="0" codePage="437" sourceFile="F:\validn_atomicdiagfill\prob_algP\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8" name="80_110_Max_Min" type="6" refreshedVersion="3" background="1">
    <textPr prompt="0" codePage="437" sourceFile="80_11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9" name="80_224_Max_Min" type="6" refreshedVersion="3" background="1">
    <textPr prompt="0" codePage="437" sourceFile="80_22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0" name="80_772_80_morgan" type="6" refreshedVersion="4" background="1">
    <textPr prompt="0" codePage="437" sourceFile="C:\Users\omkar.pawar\Desktop\Trail\New folder\80_772_80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1" name="80_Max_Min" type="6" refreshedVersion="3" background="1">
    <textPr prompt="0" codePage="437" sourceFile="8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2" name="80_Max_Min1" type="6" refreshedVersion="3" background="1">
    <textPr prompt="0" codePage="437" sourceFile="8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3" name="81_112_Max_Min" type="6" refreshedVersion="3" background="1">
    <textPr prompt="0" codePage="437" sourceFile="81_1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4" name="81_226_Max_Min" type="6" refreshedVersion="3" background="1">
    <textPr prompt="0" codePage="437" sourceFile="81_22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5" name="81_773_81_morgan" type="6" refreshedVersion="4" background="1">
    <textPr prompt="0" codePage="437" sourceFile="C:\Users\omkar.pawar\Desktop\Trail\New folder\81_773_81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6" name="81_Max_Min" type="6" refreshedVersion="3" background="1">
    <textPr prompt="0" codePage="437" sourceFile="8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7" name="82_115_Max_Min" type="6" refreshedVersion="3" background="1">
    <textPr prompt="0" codePage="437" sourceFile="82_11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8" name="82_227_Max_Min" type="6" refreshedVersion="3" background="1">
    <textPr prompt="0" codePage="437" sourceFile="82_22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9" name="82_775_82_morgan" type="6" refreshedVersion="4" background="1">
    <textPr prompt="0" codePage="437" sourceFile="C:\Users\omkar.pawar\Desktop\Trail\New folder\82_775_82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0" name="83_116_Max_Min" type="6" refreshedVersion="3" background="1">
    <textPr prompt="0" codePage="437" sourceFile="83_11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1" name="83_229_Max_Min" type="6" refreshedVersion="3" background="1">
    <textPr prompt="0" codePage="437" sourceFile="83_22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2" name="83_776_83_morgan" type="6" refreshedVersion="4" background="1">
    <textPr prompt="0" codePage="437" sourceFile="C:\Users\omkar.pawar\Desktop\Trail\New folder\83_776_8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3" name="83_Max_Min" type="6" refreshedVersion="3" background="1">
    <textPr prompt="0" codePage="437" sourceFile="8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4" name="84_119_Max_Min" type="6" refreshedVersion="3" background="1">
    <textPr prompt="0" codePage="437" sourceFile="84_11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5" name="84_230_Max_Min" type="6" refreshedVersion="3" background="1">
    <textPr prompt="0" codePage="437" sourceFile="84_23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6" name="84_777_84_morgan" type="6" refreshedVersion="4" background="1">
    <textPr prompt="0" codePage="437" sourceFile="C:\Users\omkar.pawar\Desktop\Trail\New folder\84_777_84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7" name="84_Max_Min" type="6" refreshedVersion="3" background="1">
    <textPr prompt="0" codePage="437" sourceFile="8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8" name="85_140_Max_Min" type="6" refreshedVersion="3" background="1">
    <textPr prompt="0" codePage="437" sourceFile="85_1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9" name="85_231_Max_Min" type="6" refreshedVersion="3" background="1">
    <textPr prompt="0" codePage="437" sourceFile="85_23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0" name="85_Max_Min" type="6" refreshedVersion="3" background="1">
    <textPr prompt="0" codePage="437" sourceFile="8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1" name="86_142_Max_Min" type="6" refreshedVersion="3" background="1">
    <textPr prompt="0" codePage="437" sourceFile="86_1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2" name="86_235_Max_Min" type="6" refreshedVersion="3" background="1">
    <textPr prompt="0" codePage="437" sourceFile="86_235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3" name="86_Max_Min" type="6" refreshedVersion="3" background="1">
    <textPr prompt="0" codePage="437" sourceFile="8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4" name="87_144_Max_Min" type="6" refreshedVersion="3" background="1">
    <textPr prompt="0" codePage="437" sourceFile="87_14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5" name="87_236_Max_Min" type="6" refreshedVersion="3" background="1">
    <textPr prompt="0" codePage="437" sourceFile="87_23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6" name="87_Max_Min" type="6" refreshedVersion="3" background="1">
    <textPr prompt="0" codePage="437" sourceFile="8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7" name="88_146_Max_Min" type="6" refreshedVersion="3" background="1">
    <textPr prompt="0" codePage="437" sourceFile="88_14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8" name="88_238_Max_Min" type="6" refreshedVersion="3" background="1">
    <textPr prompt="0" codePage="437" sourceFile="88_23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9" name="89_151_Max_Min" type="6" refreshedVersion="3" background="1">
    <textPr prompt="0" codePage="437" sourceFile="89_15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0" name="89_240_Max_Min" type="6" refreshedVersion="3" background="1">
    <textPr prompt="0" codePage="437" sourceFile="89_24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1" name="89_Max_Min" type="6" refreshedVersion="3" background="1">
    <textPr prompt="0" codePage="437" sourceFile="8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2" name="9_12_Max_Min" type="6" refreshedVersion="3" background="1">
    <textPr prompt="0" codePage="437" sourceFile="9_1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3" name="9_14_Max_Min" type="6" refreshedVersion="3" background="1">
    <textPr prompt="0" codePage="437" sourceFile="9_1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4" name="9_1623_morgan" type="6" refreshedVersion="4" background="1">
    <textPr prompt="0" codePage="437" sourceFile="E:\vitals\IT_developments\Excels\EVANS\trouble\Identified\9_1623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5" name="9_Max_Min" type="6" refreshedVersion="4" background="1">
    <textPr prompt="0" codePage="437" sourceFile="R:\WORK\labwrk\work\rework\trial_atomicprops\validn_atomicdiagfill\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6" name="9_Max_Min_algP" type="6" refreshedVersion="4" background="1">
    <textPr prompt="0" codePage="437" sourceFile="R:\WORK\labwrk\work\rework\trial_atomicprops\validn_atomicdiagfill\9_Max_Min_al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7" name="9_Max_Min1" type="6" refreshedVersion="4" background="1">
    <textPr prompt="0" codePage="437" sourceFile="R:\WORK\labwrk\work\rework\trial_atomicprops\validn_atomicdiagfill\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8" name="9_Max_Min2" type="6" refreshedVersion="4" background="1">
    <textPr prompt="0" codePage="437" sourceFile="F:\validn_atomicdiagfill\prob_algP\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9" name="90_152_Max_Min" type="6" refreshedVersion="3" background="1">
    <textPr prompt="0" codePage="437" sourceFile="90_15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0" name="90_242_Max_Min" type="6" refreshedVersion="3" background="1">
    <textPr prompt="0" codePage="437" sourceFile="90_242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1" name="90_Max_Min" type="6" refreshedVersion="3" background="1">
    <textPr prompt="0" codePage="437" sourceFile="9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2" name="90_Max_Min1" type="6" refreshedVersion="3" background="1">
    <textPr prompt="0" codePage="437" sourceFile="9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3" name="91_153_Max_Min" type="6" refreshedVersion="3" background="1">
    <textPr prompt="0" codePage="437" sourceFile="91_15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4" name="91_244_Max_Min" type="6" refreshedVersion="3" background="1">
    <textPr prompt="0" codePage="437" sourceFile="91_24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5" name="92_156_Max_Min" type="6" refreshedVersion="3" background="1">
    <textPr prompt="0" codePage="437" sourceFile="92_15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6" name="92_246_Max_Min" type="6" refreshedVersion="3" background="1">
    <textPr prompt="0" codePage="437" sourceFile="92_24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7" name="93_158_Max_Min" type="6" refreshedVersion="3" background="1">
    <textPr prompt="0" codePage="437" sourceFile="93_15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8" name="93_248_Max_Min" type="6" refreshedVersion="3" background="1">
    <textPr prompt="0" codePage="437" sourceFile="93_24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9" name="93_Max_Min" type="6" refreshedVersion="3" background="1">
    <textPr prompt="0" codePage="437" sourceFile="9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0" name="94_159_Max_Min" type="6" refreshedVersion="3" background="1">
    <textPr prompt="0" codePage="437" sourceFile="94_15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1" name="94_249_Max_Min" type="6" refreshedVersion="3" background="1">
    <textPr prompt="0" codePage="437" sourceFile="94_249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2" name="94_Max_Min" type="6" refreshedVersion="3" background="1">
    <textPr prompt="0" codePage="437" sourceFile="9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3" name="95_160_Max_Min" type="6" refreshedVersion="3" background="1">
    <textPr prompt="0" codePage="437" sourceFile="95_1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4" name="95_254_Max_Min" type="6" refreshedVersion="3" background="1">
    <textPr prompt="0" codePage="437" sourceFile="95_25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5" name="96_161_Max_Min" type="6" refreshedVersion="3" background="1">
    <textPr prompt="0" codePage="437" sourceFile="96_161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6" name="96_256_Max_Min" type="6" refreshedVersion="3" background="1">
    <textPr prompt="0" codePage="437" sourceFile="96_25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7" name="97_163_Max_Min" type="6" refreshedVersion="3" background="1">
    <textPr prompt="0" codePage="437" sourceFile="97_163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8" name="97_257_Max_Min" type="6" refreshedVersion="3" background="1">
    <textPr prompt="0" codePage="437" sourceFile="97_25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9" name="97_787_97_morgan" type="6" refreshedVersion="4" background="1">
    <textPr prompt="0" codePage="437" sourceFile="C:\Users\omkar.pawar\Desktop\Trail\New folder\97_787_9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0" name="97_787_97_morgan_logp" type="6" refreshedVersion="4" background="1">
    <textPr prompt="0" codePage="437" sourceFile="C:\Users\omkar.pawar\Desktop\Logp\97_787_97_morgan_logp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1" name="97_787_97_morgan1" type="6" refreshedVersion="4" background="1">
    <textPr prompt="0" codePage="437" sourceFile="C:\Users\omkar.pawar\Desktop\Logp\97_787_97_morgan.dis" space="1" consecutive="1" delimiter=":">
      <textFields count="3">
        <textField/>
        <textField/>
        <textField/>
      </textFields>
    </textPr>
  </connection>
  <connection id="1022" name="97_787_97_morgan2" type="6" refreshedVersion="4" background="1">
    <textPr prompt="0" codePage="437" sourceFile="C:\Users\omkar.pawar\Desktop\Logp\97_787_97_morgan.dis" space="1" consecutive="1" delimiter=":">
      <textFields count="3">
        <textField/>
        <textField/>
        <textField/>
      </textFields>
    </textPr>
  </connection>
  <connection id="1023" name="97_787_97_morgan3" type="6" refreshedVersion="4" background="1">
    <textPr prompt="0" codePage="437" sourceFile="C:\Users\omkar.pawar\Desktop\Logp\97_787_97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4" name="97_Max_Min" type="6" refreshedVersion="3" background="1">
    <textPr prompt="0" codePage="437" sourceFile="97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5" name="98_164_Max_Min" type="6" refreshedVersion="3" background="1">
    <textPr prompt="0" codePage="437" sourceFile="98_164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6" name="98_258_Max_Min" type="6" refreshedVersion="3" background="1">
    <textPr prompt="0" codePage="437" sourceFile="98_25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7" name="98_789_98_morgan" type="6" refreshedVersion="4" background="1">
    <textPr prompt="0" codePage="437" sourceFile="C:\Users\omkar.pawar\Desktop\Trail\New folder\98_789_98_morga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8" name="98_Max_Min" type="6" refreshedVersion="3" background="1">
    <textPr prompt="0" codePage="437" sourceFile="98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9" name="99_166_Max_Min" type="6" refreshedVersion="3" background="1">
    <textPr prompt="0" codePage="437" sourceFile="99_166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0" name="99_260_Max_Min" type="6" refreshedVersion="3" background="1">
    <textPr prompt="0" codePage="437" sourceFile="99_260_Max_Min.csv" comma="1">
      <textFields count="5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1" name="paracetamol" type="6" refreshedVersion="4" background="1" saveData="1">
    <textPr prompt="0" codePage="437" sourceFile="E:\Vital\ITresearch\Morgan\paracetamol.mol2" space="1" consecutive="1">
      <textFields count="5">
        <textField/>
        <textField/>
        <textField/>
        <textField/>
        <textField/>
      </textFields>
    </textPr>
  </connection>
  <connection id="1032" name="paracetamol1" type="6" refreshedVersion="4" background="1" saveData="1">
    <textPr prompt="0" codePage="437" sourceFile="E:\Vital\ITresearch\Morgan\paracetamol.mol2" space="1" consecutive="1">
      <textFields count="5">
        <textField/>
        <textField/>
        <textField/>
        <textField/>
        <textField/>
      </textFields>
    </textPr>
  </connection>
  <connection id="1033" name="paracetamol2" type="6" refreshedVersion="4" background="1" saveData="1">
    <textPr prompt="0" codePage="437" sourceFile="E:\Vital\ITresearch\Morgan\paracetamol.mol2" space="1" consecutive="1">
      <textFields count="5">
        <textField/>
        <textField/>
        <textField/>
        <textField/>
        <textField/>
      </textFields>
    </textPr>
  </connection>
  <connection id="1034" name="paracetamol3" type="6" refreshedVersion="4" background="1" saveData="1">
    <textPr prompt="0" codePage="437" sourceFile="E:\Vital\ITresearch\Morgan\paracetamol.mol2" space="1" consecutive="1">
      <textFields count="5">
        <textField/>
        <textField/>
        <textField/>
        <textField/>
        <textField/>
      </textFields>
    </textPr>
  </connection>
  <connection id="1035" name="paracetamol31" type="6" refreshedVersion="4" background="1" saveData="1">
    <textPr prompt="0" codePage="437" sourceFile="E:\Vital\ITresearch\Morgan\paracetamol.mol2" space="1" consecutive="1">
      <textFields count="5">
        <textField/>
        <textField/>
        <textField/>
        <textField/>
        <textField/>
      </textFields>
    </textPr>
  </connection>
  <connection id="1036" name="paracetamol32" type="6" refreshedVersion="4" background="1" saveData="1">
    <textPr prompt="0" codePage="437" sourceFile="E:\Vital\ITresearch\Morgan\paracetamol.mol2" space="1" consecutive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<sst xmlns="http://schemas.openxmlformats.org/spreadsheetml/2006/main" count="1293" uniqueCount="382">
  <si>
    <t>Atomic</t>
  </si>
  <si>
    <t>Element</t>
  </si>
  <si>
    <t>Atom</t>
  </si>
  <si>
    <t>Bond</t>
  </si>
  <si>
    <t>Number</t>
  </si>
  <si>
    <t>Symbol</t>
  </si>
  <si>
    <t>type</t>
  </si>
  <si>
    <t>Order</t>
  </si>
  <si>
    <t>H</t>
  </si>
  <si>
    <t>Br</t>
  </si>
  <si>
    <t>He</t>
  </si>
  <si>
    <t>C.1</t>
  </si>
  <si>
    <t>C</t>
  </si>
  <si>
    <t>Li</t>
  </si>
  <si>
    <t>C.2</t>
  </si>
  <si>
    <t>Be</t>
  </si>
  <si>
    <t>C.3</t>
  </si>
  <si>
    <t>B</t>
  </si>
  <si>
    <t>C.ar</t>
  </si>
  <si>
    <t>Cl</t>
  </si>
  <si>
    <t xml:space="preserve">Cl   </t>
  </si>
  <si>
    <t>N</t>
  </si>
  <si>
    <t>F</t>
  </si>
  <si>
    <t>O</t>
  </si>
  <si>
    <t>I</t>
  </si>
  <si>
    <t>Ne</t>
  </si>
  <si>
    <t>N.1</t>
  </si>
  <si>
    <t>Na</t>
  </si>
  <si>
    <t>N.2</t>
  </si>
  <si>
    <t>Mg</t>
  </si>
  <si>
    <t>N.4</t>
  </si>
  <si>
    <t>Al</t>
  </si>
  <si>
    <t>N.am</t>
  </si>
  <si>
    <t>Si</t>
  </si>
  <si>
    <t>N.ar</t>
  </si>
  <si>
    <t>P</t>
  </si>
  <si>
    <t>N.pl3</t>
  </si>
  <si>
    <t>S</t>
  </si>
  <si>
    <t>O.2</t>
  </si>
  <si>
    <t>O.3</t>
  </si>
  <si>
    <t>Ar</t>
  </si>
  <si>
    <t>O.co2</t>
  </si>
  <si>
    <t>K</t>
  </si>
  <si>
    <t>P.3</t>
  </si>
  <si>
    <t>Ca</t>
  </si>
  <si>
    <t>S.1</t>
  </si>
  <si>
    <t>Sc</t>
  </si>
  <si>
    <t>S.2</t>
  </si>
  <si>
    <t>Ti</t>
  </si>
  <si>
    <t>S.3</t>
  </si>
  <si>
    <t>V</t>
  </si>
  <si>
    <t>S.O</t>
  </si>
  <si>
    <t>Cr</t>
  </si>
  <si>
    <t>S.O2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</si>
  <si>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</si>
  <si>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</si>
  <si>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</si>
  <si>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</si>
  <si>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</si>
  <si>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</si>
  <si>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</si>
  <si>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</si>
  <si>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</si>
  <si>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</si>
  <si>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</si>
  <si>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</si>
  <si>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</si>
  <si>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</si>
  <si>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</si>
  <si>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</si>
  <si>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</si>
  <si>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</si>
  <si>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</si>
  <si>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</si>
  <si>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</si>
  <si>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</si>
  <si>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</si>
  <si>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</si>
  <si>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</si>
  <si>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</si>
  <si>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</si>
  <si>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Xe</t>
  </si>
  <si>
    <t>Cs</t>
  </si>
  <si>
    <t>Ba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</si>
  <si>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</si>
  <si>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</si>
  <si>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</si>
  <si>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</si>
  <si>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</si>
  <si>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</si>
  <si>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</si>
  <si>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</si>
  <si>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</si>
  <si>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</si>
  <si>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</si>
  <si>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</si>
  <si>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</si>
  <si>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</si>
  <si>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</si>
  <si>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</si>
  <si>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</si>
  <si>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</si>
  <si>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</si>
  <si>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</si>
  <si>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</si>
  <si>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</si>
  <si>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</si>
  <si>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</si>
  <si>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</si>
  <si>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</si>
  <si>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</si>
  <si>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</si>
  <si>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</si>
  <si>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</si>
  <si>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</si>
  <si>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</si>
  <si>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</si>
  <si>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</si>
  <si>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</si>
  <si>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</si>
  <si>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Np</t>
  </si>
  <si>
    <t>Pu</t>
  </si>
  <si>
    <t>Am</t>
  </si>
  <si>
    <t>Cm</t>
  </si>
  <si>
    <t>By pressing the Button EVANS you can see following options</t>
  </si>
  <si>
    <t>Morganization</t>
  </si>
  <si>
    <t>This option would read mol2 files in the current path and renumber atoms according to Morgan's rules</t>
  </si>
  <si>
    <t xml:space="preserve">The resultant molecules should be processed with vmd script "" to generate distance map between atom </t>
  </si>
  <si>
    <t>Matrix Maker</t>
  </si>
  <si>
    <t>The resultant .dis files would be read and converted to matrix format with null diagonal elements</t>
  </si>
  <si>
    <t>Diagonal Property Inserter</t>
  </si>
  <si>
    <t>The morganized mol2 files should be used further to calculate elemental properties by ChemAxon</t>
  </si>
  <si>
    <t>The shell script for the same purpose is</t>
  </si>
  <si>
    <t>These atomic properties would be inserted in the matrices prepared earlier in respective diagonal positions</t>
  </si>
  <si>
    <t>CoVariance Matrix Maker</t>
  </si>
  <si>
    <t>This button will generate convariance matrices of matrices having atomic properties as diagonal</t>
  </si>
  <si>
    <t>MaxMin Matrix Generator</t>
  </si>
  <si>
    <t>Useful for generating new matrix for chiral molecules having maximal values in upper half and minima values in lower half as calculated from several configurations</t>
  </si>
  <si>
    <t>NOTE</t>
  </si>
  <si>
    <t>This utility has been programed to run in active workbook's path.</t>
  </si>
  <si>
    <t>It is advised to work in separate directory everytime.</t>
  </si>
  <si>
    <t>26_711_26</t>
  </si>
  <si>
    <t>newnum</t>
  </si>
  <si>
    <t>atomtype</t>
  </si>
  <si>
    <t>BO</t>
  </si>
  <si>
    <t>AtomicNo</t>
  </si>
  <si>
    <t>connected atoms</t>
  </si>
  <si>
    <t>Cell ref for addn</t>
  </si>
  <si>
    <t>Connectivity</t>
  </si>
  <si>
    <t>SumConnectivity</t>
  </si>
  <si>
    <t>2,3,9</t>
  </si>
  <si>
    <t>L3,L4,L10</t>
  </si>
  <si>
    <t>1,4,8</t>
  </si>
  <si>
    <t>L2,L5,L9</t>
  </si>
  <si>
    <t>1,7,5</t>
  </si>
  <si>
    <t>L2,L8,L6</t>
  </si>
  <si>
    <t>2,6,10</t>
  </si>
  <si>
    <t>L3,L7,L11</t>
  </si>
  <si>
    <t>3,11,6</t>
  </si>
  <si>
    <t>L4,L12,L7</t>
  </si>
  <si>
    <t>4,5</t>
  </si>
  <si>
    <t>L5,L6</t>
  </si>
  <si>
    <t>L4</t>
  </si>
  <si>
    <t>L3</t>
  </si>
  <si>
    <t>L2</t>
  </si>
  <si>
    <t>L5</t>
  </si>
  <si>
    <t>L6</t>
  </si>
  <si>
    <t xml:space="preserve">Atom Type </t>
  </si>
  <si>
    <t xml:space="preserve">Definition </t>
  </si>
  <si>
    <t xml:space="preserve">Radius (R) </t>
  </si>
  <si>
    <t xml:space="preserve">Well Depth (å) </t>
  </si>
  <si>
    <t xml:space="preserve"> </t>
  </si>
  <si>
    <t xml:space="preserve">H </t>
  </si>
  <si>
    <t xml:space="preserve">Hydrogen bonded to nitrogen other than HN1 and HN2 </t>
  </si>
  <si>
    <t xml:space="preserve">HN1 </t>
  </si>
  <si>
    <t xml:space="preserve">Secondary amine hydrogen </t>
  </si>
  <si>
    <t xml:space="preserve">HN2 </t>
  </si>
  <si>
    <t xml:space="preserve">Primary Amine hydrogen </t>
  </si>
  <si>
    <t xml:space="preserve">HO </t>
  </si>
  <si>
    <t xml:space="preserve">Hydrogen bonded to oxygen </t>
  </si>
  <si>
    <t xml:space="preserve">HS </t>
  </si>
  <si>
    <t xml:space="preserve">Hydrogen bonded to sulfur </t>
  </si>
  <si>
    <t xml:space="preserve">HC </t>
  </si>
  <si>
    <t xml:space="preserve">Hydrogen bonded to sp3 carbon </t>
  </si>
  <si>
    <t xml:space="preserve">HA </t>
  </si>
  <si>
    <t xml:space="preserve">Hydrogen bonded to sp2 and sp1 carbon </t>
  </si>
  <si>
    <t xml:space="preserve">H1 </t>
  </si>
  <si>
    <t xml:space="preserve">Hydrogen bonded to sp3 carbon with one electron-withdrawing group </t>
  </si>
  <si>
    <t xml:space="preserve">H2 </t>
  </si>
  <si>
    <t xml:space="preserve">Hydrogen bonded to sp3 carbon with two electron-withdrawing group </t>
  </si>
  <si>
    <t xml:space="preserve">H3 </t>
  </si>
  <si>
    <t xml:space="preserve">Hydrogen bonded to sp3 carbon with three electron-withdrawing group </t>
  </si>
  <si>
    <t xml:space="preserve">H4 </t>
  </si>
  <si>
    <t xml:space="preserve">Hydrogen bonded to sp2 carbon with one electron-withdrawing group </t>
  </si>
  <si>
    <t xml:space="preserve">H5 </t>
  </si>
  <si>
    <t xml:space="preserve">Hydrogen bonded to sp2 carbon with two electron-withdrawing group </t>
  </si>
  <si>
    <t xml:space="preserve">CT </t>
  </si>
  <si>
    <t xml:space="preserve">sp3 carbon </t>
  </si>
  <si>
    <t xml:space="preserve">C </t>
  </si>
  <si>
    <t xml:space="preserve">Carbonyl carbon </t>
  </si>
  <si>
    <t xml:space="preserve">CA, C*, CB, CC, CD, CK, CM, </t>
  </si>
  <si>
    <t>C.2, C.ar</t>
  </si>
  <si>
    <t xml:space="preserve">Aromatic sp2 carbon or sp2 carbon in planar ring systems </t>
  </si>
  <si>
    <t xml:space="preserve">CQ, CR, CV, CW </t>
  </si>
  <si>
    <t xml:space="preserve">C2 </t>
  </si>
  <si>
    <t xml:space="preserve">Other sp2 carbon </t>
  </si>
  <si>
    <t xml:space="preserve">CY </t>
  </si>
  <si>
    <t xml:space="preserve">sp1 carbon </t>
  </si>
  <si>
    <t xml:space="preserve">OH </t>
  </si>
  <si>
    <t xml:space="preserve">Hydroxyl oxygen </t>
  </si>
  <si>
    <t xml:space="preserve">OS </t>
  </si>
  <si>
    <t xml:space="preserve">Oxygen in ether and ester </t>
  </si>
  <si>
    <t xml:space="preserve">O </t>
  </si>
  <si>
    <t xml:space="preserve">Carbonyl oxygen </t>
  </si>
  <si>
    <t xml:space="preserve">O2 </t>
  </si>
  <si>
    <t xml:space="preserve">Carboxyl and phosphate oxygen </t>
  </si>
  <si>
    <t xml:space="preserve">N, NA, N2, N*, NC, NB, NY </t>
  </si>
  <si>
    <t xml:space="preserve">Nitrogen other than NT and N3 </t>
  </si>
  <si>
    <t xml:space="preserve">NT, N3 </t>
  </si>
  <si>
    <t xml:space="preserve">Amine nitrogen </t>
  </si>
  <si>
    <t xml:space="preserve">S,SH </t>
  </si>
  <si>
    <t xml:space="preserve">Sulfur </t>
  </si>
  <si>
    <t xml:space="preserve">P </t>
  </si>
  <si>
    <t xml:space="preserve">Phosphate </t>
  </si>
  <si>
    <t>N.3,N.pl3</t>
  </si>
  <si>
    <t>N.1,N.2,N.ar,</t>
  </si>
  <si>
    <t>S.1,S.2,S.3,S.O,S.O2</t>
  </si>
  <si>
    <t>Case</t>
  </si>
  <si>
    <t>Type</t>
  </si>
  <si>
    <t>SybylType</t>
  </si>
  <si>
    <t>n*BondType</t>
  </si>
  <si>
    <t>X</t>
  </si>
  <si>
    <t>CXn</t>
  </si>
  <si>
    <t>identifying criteria</t>
  </si>
  <si>
    <t>2a</t>
  </si>
  <si>
    <t>2b</t>
  </si>
  <si>
    <t>1*2,1*1</t>
  </si>
  <si>
    <t>1*2,1*2</t>
  </si>
  <si>
    <t>2*ar</t>
  </si>
  <si>
    <t>3a</t>
  </si>
  <si>
    <t>3b</t>
  </si>
  <si>
    <t>2*1,1*2</t>
  </si>
  <si>
    <t>4a</t>
  </si>
  <si>
    <t>4b</t>
  </si>
  <si>
    <t>4c</t>
  </si>
  <si>
    <t>1*1,1*2</t>
  </si>
  <si>
    <t>0*1,2*2</t>
  </si>
  <si>
    <t>1*3</t>
  </si>
  <si>
    <t>1*1,1*3</t>
  </si>
  <si>
    <t>5a</t>
  </si>
  <si>
    <t>5b</t>
  </si>
  <si>
    <t>1*1</t>
  </si>
  <si>
    <t>2*1</t>
  </si>
  <si>
    <t>1*2</t>
  </si>
  <si>
    <t>10a</t>
  </si>
  <si>
    <t>N.3</t>
  </si>
  <si>
    <t>10b</t>
  </si>
  <si>
    <t>10c</t>
  </si>
  <si>
    <t>10d</t>
  </si>
  <si>
    <t>10e</t>
  </si>
  <si>
    <t>10f</t>
  </si>
  <si>
    <t>10g</t>
  </si>
  <si>
    <t>10h</t>
  </si>
  <si>
    <t>3*1</t>
  </si>
  <si>
    <t>10i</t>
  </si>
  <si>
    <t>10j</t>
  </si>
  <si>
    <t>10k</t>
  </si>
  <si>
    <t>10l</t>
  </si>
  <si>
    <t>10m</t>
  </si>
  <si>
    <t>10n</t>
  </si>
  <si>
    <t>10o</t>
  </si>
  <si>
    <t>4*1</t>
  </si>
  <si>
    <t>S.ar</t>
  </si>
  <si>
    <t>12a</t>
  </si>
  <si>
    <t>12b</t>
  </si>
  <si>
    <t>2*1,1*1</t>
  </si>
  <si>
    <t>2*1,2*1</t>
  </si>
  <si>
    <t>3,5,6</t>
  </si>
  <si>
    <t>L4,L6,L6</t>
  </si>
  <si>
    <t>1,2,4</t>
  </si>
  <si>
    <t>L2,L3,L5</t>
  </si>
  <si>
    <t>paracetamol</t>
  </si>
  <si>
    <t>1,3,4</t>
  </si>
  <si>
    <t>L2,L4,L5</t>
  </si>
  <si>
    <t>2,5</t>
  </si>
  <si>
    <t>L3,L6</t>
  </si>
  <si>
    <t>4,11,6</t>
  </si>
  <si>
    <t>L5,L12,L7</t>
  </si>
  <si>
    <t>5,7</t>
  </si>
  <si>
    <t>L6,L8</t>
  </si>
  <si>
    <t>6,8</t>
  </si>
  <si>
    <t>L7,L9</t>
  </si>
  <si>
    <t>7,9,10</t>
  </si>
  <si>
    <t>L8,L10,L11</t>
  </si>
  <si>
    <t>L9</t>
  </si>
  <si>
    <t>8,11</t>
  </si>
  <si>
    <t>L9,L12</t>
  </si>
  <si>
    <t>5,10</t>
  </si>
  <si>
    <t>L6,L11</t>
  </si>
  <si>
    <t>L4,L6,L7</t>
  </si>
  <si>
    <t>138_R_R</t>
  </si>
  <si>
    <t>138_R_S</t>
  </si>
  <si>
    <t>138_S_R</t>
  </si>
  <si>
    <t>138_S_S</t>
  </si>
  <si>
    <t>L13</t>
  </si>
  <si>
    <t>L14</t>
  </si>
  <si>
    <t>6,13</t>
  </si>
  <si>
    <t>L7,L14</t>
  </si>
  <si>
    <t>9,10</t>
  </si>
  <si>
    <t>L10,L11</t>
  </si>
  <si>
    <t>6,7</t>
  </si>
  <si>
    <t>L7,L8</t>
  </si>
  <si>
    <t>3,5,12</t>
  </si>
  <si>
    <t>L4,L6,L13</t>
  </si>
  <si>
    <t>5,8,10</t>
  </si>
  <si>
    <t>L6,L9,L11</t>
  </si>
  <si>
    <t>7,9,11</t>
  </si>
  <si>
    <t>L8,L10,L12</t>
  </si>
  <si>
    <t>4,8,15</t>
  </si>
  <si>
    <t>L5,L9,L16</t>
  </si>
  <si>
    <t>4,7</t>
  </si>
  <si>
    <t>L5,L8</t>
  </si>
  <si>
    <t>8,16</t>
  </si>
  <si>
    <t>L9,L17</t>
  </si>
  <si>
    <t>1,6,19</t>
  </si>
  <si>
    <t>L2,L7,L20</t>
  </si>
  <si>
    <t>2,3,14</t>
  </si>
  <si>
    <t>L3,L4,L15</t>
  </si>
  <si>
    <t>13,18,20</t>
  </si>
  <si>
    <t>L14,L19,L21</t>
  </si>
  <si>
    <t>9,17</t>
  </si>
  <si>
    <t>L10,L18</t>
  </si>
  <si>
    <t>11,17</t>
  </si>
  <si>
    <t>L12,L18</t>
  </si>
  <si>
    <t>15,16</t>
  </si>
  <si>
    <t>L16,L17</t>
  </si>
  <si>
    <t>L15</t>
  </si>
  <si>
    <t>L7</t>
  </si>
  <si>
    <t>1,2,3,6</t>
  </si>
  <si>
    <t>L2,L3,L4,L7</t>
  </si>
  <si>
    <t>4,5,7</t>
  </si>
  <si>
    <t>L5,L6,L8</t>
  </si>
  <si>
    <t>L11</t>
  </si>
  <si>
    <t>L21</t>
  </si>
  <si>
    <t>L25</t>
  </si>
  <si>
    <t>L27</t>
  </si>
  <si>
    <t>7,10,11,17</t>
  </si>
  <si>
    <t>L8,L11,L12,L18</t>
  </si>
  <si>
    <t>6,8,12</t>
  </si>
  <si>
    <t>L7,L9,L13</t>
  </si>
  <si>
    <t>7,9,16</t>
  </si>
  <si>
    <t>L8,L10,L17</t>
  </si>
  <si>
    <t>8,13,14</t>
  </si>
  <si>
    <t>L9,L14,L15</t>
  </si>
  <si>
    <t>1,6,15,20</t>
  </si>
  <si>
    <t>L2,L7,L16,L21</t>
  </si>
  <si>
    <t>7,15</t>
  </si>
  <si>
    <t>L8,L16</t>
  </si>
  <si>
    <t>2,9,11</t>
  </si>
  <si>
    <t>L3,L10,L12</t>
  </si>
  <si>
    <t>9,19,21,22</t>
  </si>
  <si>
    <t>L10,L20,L22,L23</t>
  </si>
  <si>
    <t>10,12</t>
  </si>
  <si>
    <t>L11,L13</t>
  </si>
  <si>
    <t>8,18</t>
  </si>
  <si>
    <t>L9,L19</t>
  </si>
  <si>
    <t>16,19</t>
  </si>
  <si>
    <t>L17,L20</t>
  </si>
  <si>
    <t>14,18,23</t>
  </si>
  <si>
    <t>L15,L19,L24</t>
  </si>
  <si>
    <t>3,10,24</t>
  </si>
  <si>
    <t>L4,L11,L25</t>
  </si>
  <si>
    <t>14,25</t>
  </si>
  <si>
    <t>L15,L26</t>
  </si>
  <si>
    <t>19,26</t>
  </si>
  <si>
    <t>L20,L27</t>
  </si>
  <si>
    <t>4,20</t>
  </si>
  <si>
    <t>L5,L21</t>
  </si>
  <si>
    <t>22,26</t>
  </si>
  <si>
    <t>L23,L27</t>
  </si>
  <si>
    <t>5,23,25</t>
  </si>
  <si>
    <t>L6,L24,L26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</si>
</sst>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9"/>
      <color rgb="FF333333"/>
      <name val="Lucida Sans Unicode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4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4" borderId="0" xfId="0" applyFill="1"/>
    <xf numFmtId="0" fontId="2" fillId="0" borderId="0" xfId="1" applyAlignment="1"/>
    <xf numFmtId="0" fontId="3" fillId="0" borderId="0" xfId="1" applyFont="1" applyFill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0</xdr:row>
          <xdr:rowOff>142875</xdr:rowOff>
        </xdr:from>
        <xdr:to>
          <xdr:col>17</xdr:col>
          <xdr:colOff>371475</xdr:colOff>
          <xdr:row>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IN" sz="4800" b="0" i="0" u="none" strike="noStrike" baseline="0">
                  <a:solidFill>
                    <a:srgbClr val="000000"/>
                  </a:solidFill>
                  <a:latin typeface="Calibri"/>
                </a:rPr>
                <a:t>EVANS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9"/>
  <sheetViews>
    <sheetView workbookViewId="0">
      <selection activeCell="C26" sqref="C26"/>
    </sheetView>
  </sheetViews>
  <sheetFormatPr defaultRowHeight="15" x14ac:dyDescent="0.25"/>
  <sheetData>
    <row r="2" spans="1:4" x14ac:dyDescent="0.25">
      <c r="A2" t="s">
        <v>124</v>
      </c>
    </row>
    <row r="4" spans="1:4" x14ac:dyDescent="0.25">
      <c r="A4" t="s">
        <v>125</v>
      </c>
      <c r="D4" t="s">
        <v>126</v>
      </c>
    </row>
    <row r="5" spans="1:4" x14ac:dyDescent="0.25">
      <c r="D5" t="s">
        <v>127</v>
      </c>
    </row>
    <row r="6" spans="1:4" x14ac:dyDescent="0.25">
      <c r="A6" t="s">
        <v>128</v>
      </c>
      <c r="D6" t="s">
        <v>129</v>
      </c>
    </row>
    <row r="9" spans="1:4" x14ac:dyDescent="0.25">
      <c r="A9" t="s">
        <v>136</v>
      </c>
      <c r="D9" t="s">
        <v>137</v>
      </c>
    </row>
    <row r="11" spans="1:4" x14ac:dyDescent="0.25">
      <c r="A11" t="s">
        <v>130</v>
      </c>
      <c r="D11" t="s">
        <v>131</v>
      </c>
    </row>
    <row r="12" spans="1:4" x14ac:dyDescent="0.25">
      <c r="D12" t="s">
        <v>132</v>
      </c>
    </row>
    <row r="13" spans="1:4" x14ac:dyDescent="0.25">
      <c r="D13" t="s">
        <v>133</v>
      </c>
    </row>
    <row r="15" spans="1:4" x14ac:dyDescent="0.25">
      <c r="A15" t="s">
        <v>134</v>
      </c>
      <c r="D15" t="s">
        <v>135</v>
      </c>
    </row>
    <row r="17" spans="1:1" x14ac:dyDescent="0.25">
      <c r="A17" t="s">
        <v>138</v>
      </c>
    </row>
    <row r="18" spans="1:1" x14ac:dyDescent="0.25">
      <c r="A18" t="s">
        <v>139</v>
      </c>
    </row>
    <row r="19" spans="1:1" x14ac:dyDescent="0.25">
      <c r="A19" t="s">
        <v>140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vans">
                <anchor moveWithCells="1">
                  <from>
                    <xdr:col>14</xdr:col>
                    <xdr:colOff>66675</xdr:colOff>
                    <xdr:row>0</xdr:row>
                    <xdr:rowOff>142875</xdr:rowOff>
                  </from>
                  <to>
                    <xdr:col>17</xdr:col>
                    <xdr:colOff>371475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sortState ref="C36:E64">
    <sortCondition ref="C36:C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85" zoomScaleNormal="85" workbookViewId="0"/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98"/>
  <sheetViews>
    <sheetView topLeftCell="A2" workbookViewId="0">
      <selection activeCell="G15" sqref="G15"/>
    </sheetView>
  </sheetViews>
  <sheetFormatPr defaultRowHeight="15" x14ac:dyDescent="0.25"/>
  <sheetData>
    <row r="1" spans="1:20" x14ac:dyDescent="0.25">
      <c r="A1" s="1" t="s">
        <v>0</v>
      </c>
      <c r="B1" s="1" t="s">
        <v>1</v>
      </c>
      <c r="C1" s="1" t="s">
        <v>0</v>
      </c>
      <c r="E1" t="s">
        <v>2</v>
      </c>
      <c r="F1" t="s">
        <v>3</v>
      </c>
      <c r="G1" s="1" t="s">
        <v>1</v>
      </c>
      <c r="T1" t="s">
        <v>171</v>
      </c>
    </row>
    <row r="2" spans="1:20" x14ac:dyDescent="0.25">
      <c r="A2" s="1" t="s">
        <v>4</v>
      </c>
      <c r="B2" s="1" t="s">
        <v>5</v>
      </c>
      <c r="C2" s="1" t="s">
        <v>4</v>
      </c>
      <c r="E2" t="s">
        <v>6</v>
      </c>
      <c r="F2" t="s">
        <v>7</v>
      </c>
      <c r="G2" s="1" t="s">
        <v>5</v>
      </c>
      <c r="T2" t="s">
        <v>171</v>
      </c>
    </row>
    <row r="3" spans="1:20" x14ac:dyDescent="0.25">
      <c r="A3" s="2">
        <v>1</v>
      </c>
      <c r="B3" s="2" t="s">
        <v>8</v>
      </c>
      <c r="C3" s="2">
        <v>1</v>
      </c>
      <c r="E3" t="s">
        <v>9</v>
      </c>
      <c r="F3">
        <v>1</v>
      </c>
      <c r="G3" t="s">
        <v>9</v>
      </c>
      <c r="H3">
        <v>35</v>
      </c>
      <c r="T3" t="s">
        <v>171</v>
      </c>
    </row>
    <row r="4" spans="1:20" x14ac:dyDescent="0.25">
      <c r="A4" s="2">
        <v>2</v>
      </c>
      <c r="B4" s="2" t="s">
        <v>10</v>
      </c>
      <c r="C4" s="2">
        <v>2</v>
      </c>
      <c r="E4" t="s">
        <v>11</v>
      </c>
      <c r="F4">
        <v>3</v>
      </c>
      <c r="G4" t="s">
        <v>12</v>
      </c>
      <c r="H4">
        <v>6</v>
      </c>
      <c r="T4" t="s">
        <v>171</v>
      </c>
    </row>
    <row r="5" spans="1:20" x14ac:dyDescent="0.25">
      <c r="A5" s="2">
        <v>3</v>
      </c>
      <c r="B5" s="2" t="s">
        <v>13</v>
      </c>
      <c r="C5" s="2">
        <v>3</v>
      </c>
      <c r="E5" t="s">
        <v>14</v>
      </c>
      <c r="F5">
        <v>2</v>
      </c>
      <c r="G5" t="s">
        <v>12</v>
      </c>
      <c r="H5">
        <v>6</v>
      </c>
      <c r="T5" t="s">
        <v>171</v>
      </c>
    </row>
    <row r="6" spans="1:20" x14ac:dyDescent="0.25">
      <c r="A6" s="2">
        <v>4</v>
      </c>
      <c r="B6" s="2" t="s">
        <v>15</v>
      </c>
      <c r="C6" s="2">
        <v>4</v>
      </c>
      <c r="E6" t="s">
        <v>16</v>
      </c>
      <c r="F6">
        <v>1</v>
      </c>
      <c r="G6" t="s">
        <v>12</v>
      </c>
      <c r="H6">
        <v>6</v>
      </c>
      <c r="T6" t="s">
        <v>171</v>
      </c>
    </row>
    <row r="7" spans="1:20" x14ac:dyDescent="0.25">
      <c r="A7" s="2">
        <v>5</v>
      </c>
      <c r="B7" s="2" t="s">
        <v>17</v>
      </c>
      <c r="C7" s="2">
        <v>5</v>
      </c>
      <c r="E7" t="s">
        <v>18</v>
      </c>
      <c r="F7">
        <v>2.5</v>
      </c>
      <c r="G7" t="s">
        <v>12</v>
      </c>
      <c r="H7">
        <v>6</v>
      </c>
      <c r="T7" t="s">
        <v>171</v>
      </c>
    </row>
    <row r="8" spans="1:20" x14ac:dyDescent="0.25">
      <c r="A8" s="2">
        <v>6</v>
      </c>
      <c r="B8" s="2" t="s">
        <v>12</v>
      </c>
      <c r="C8" s="2">
        <v>6</v>
      </c>
      <c r="E8" t="s">
        <v>19</v>
      </c>
      <c r="F8">
        <v>1</v>
      </c>
      <c r="G8" t="s">
        <v>20</v>
      </c>
      <c r="H8">
        <v>17</v>
      </c>
      <c r="T8" t="s">
        <v>171</v>
      </c>
    </row>
    <row r="9" spans="1:20" x14ac:dyDescent="0.25">
      <c r="A9" s="2">
        <v>7</v>
      </c>
      <c r="B9" s="2" t="s">
        <v>21</v>
      </c>
      <c r="C9" s="2">
        <v>7</v>
      </c>
      <c r="E9" t="s">
        <v>22</v>
      </c>
      <c r="F9">
        <v>1</v>
      </c>
      <c r="G9" t="s">
        <v>22</v>
      </c>
      <c r="H9">
        <v>9</v>
      </c>
      <c r="T9" t="s">
        <v>171</v>
      </c>
    </row>
    <row r="10" spans="1:20" x14ac:dyDescent="0.25">
      <c r="A10" s="2">
        <v>8</v>
      </c>
      <c r="B10" s="2" t="s">
        <v>23</v>
      </c>
      <c r="C10" s="2">
        <v>8</v>
      </c>
      <c r="E10" t="s">
        <v>8</v>
      </c>
      <c r="F10">
        <v>1</v>
      </c>
      <c r="G10" t="s">
        <v>8</v>
      </c>
      <c r="H10">
        <v>1</v>
      </c>
      <c r="T10" t="s">
        <v>171</v>
      </c>
    </row>
    <row r="11" spans="1:20" x14ac:dyDescent="0.25">
      <c r="A11" s="2">
        <v>9</v>
      </c>
      <c r="B11" s="2" t="s">
        <v>22</v>
      </c>
      <c r="C11" s="2">
        <v>9</v>
      </c>
      <c r="E11" t="s">
        <v>24</v>
      </c>
      <c r="F11">
        <v>1</v>
      </c>
      <c r="G11" t="s">
        <v>24</v>
      </c>
      <c r="H11">
        <v>53</v>
      </c>
      <c r="T11" t="s">
        <v>171</v>
      </c>
    </row>
    <row r="12" spans="1:20" x14ac:dyDescent="0.25">
      <c r="A12" s="2">
        <v>10</v>
      </c>
      <c r="B12" s="2" t="s">
        <v>25</v>
      </c>
      <c r="C12" s="2">
        <v>10</v>
      </c>
      <c r="E12" t="s">
        <v>26</v>
      </c>
      <c r="F12">
        <v>3</v>
      </c>
      <c r="G12" t="s">
        <v>21</v>
      </c>
      <c r="H12">
        <v>7</v>
      </c>
      <c r="T12" t="s">
        <v>171</v>
      </c>
    </row>
    <row r="13" spans="1:20" x14ac:dyDescent="0.25">
      <c r="A13" s="2">
        <v>11</v>
      </c>
      <c r="B13" s="2" t="s">
        <v>27</v>
      </c>
      <c r="C13" s="2">
        <v>11</v>
      </c>
      <c r="E13" t="s">
        <v>28</v>
      </c>
      <c r="F13">
        <v>2</v>
      </c>
      <c r="G13" t="s">
        <v>21</v>
      </c>
      <c r="H13">
        <v>7</v>
      </c>
      <c r="T13" t="s">
        <v>171</v>
      </c>
    </row>
    <row r="14" spans="1:20" x14ac:dyDescent="0.25">
      <c r="A14" s="2">
        <v>12</v>
      </c>
      <c r="B14" s="2" t="s">
        <v>29</v>
      </c>
      <c r="C14" s="2">
        <v>12</v>
      </c>
      <c r="E14" t="s">
        <v>255</v>
      </c>
      <c r="F14">
        <v>1</v>
      </c>
      <c r="G14" t="s">
        <v>21</v>
      </c>
      <c r="H14">
        <v>7</v>
      </c>
      <c r="T14" t="s">
        <v>171</v>
      </c>
    </row>
    <row r="15" spans="1:20" x14ac:dyDescent="0.25">
      <c r="A15" s="2">
        <v>13</v>
      </c>
      <c r="B15" s="2" t="s">
        <v>31</v>
      </c>
      <c r="C15" s="2">
        <v>13</v>
      </c>
      <c r="E15" t="s">
        <v>30</v>
      </c>
      <c r="F15">
        <v>0.5</v>
      </c>
      <c r="G15" t="s">
        <v>21</v>
      </c>
      <c r="H15">
        <v>7</v>
      </c>
      <c r="T15" t="s">
        <v>171</v>
      </c>
    </row>
    <row r="16" spans="1:20" x14ac:dyDescent="0.25">
      <c r="A16" s="2">
        <v>14</v>
      </c>
      <c r="B16" s="2" t="s">
        <v>33</v>
      </c>
      <c r="C16" s="2">
        <v>14</v>
      </c>
      <c r="E16" t="s">
        <v>32</v>
      </c>
      <c r="F16">
        <v>2.75</v>
      </c>
      <c r="G16" t="s">
        <v>21</v>
      </c>
      <c r="H16">
        <v>7</v>
      </c>
      <c r="T16" t="s">
        <v>171</v>
      </c>
    </row>
    <row r="17" spans="1:20" x14ac:dyDescent="0.25">
      <c r="A17" s="2">
        <v>15</v>
      </c>
      <c r="B17" s="2" t="s">
        <v>35</v>
      </c>
      <c r="C17" s="2">
        <v>15</v>
      </c>
      <c r="E17" t="s">
        <v>34</v>
      </c>
      <c r="F17">
        <v>2.5</v>
      </c>
      <c r="G17" t="s">
        <v>21</v>
      </c>
      <c r="H17">
        <v>7</v>
      </c>
      <c r="T17" t="s">
        <v>171</v>
      </c>
    </row>
    <row r="18" spans="1:20" x14ac:dyDescent="0.25">
      <c r="A18" s="2">
        <v>16</v>
      </c>
      <c r="B18" s="2" t="s">
        <v>37</v>
      </c>
      <c r="C18" s="2">
        <v>16</v>
      </c>
      <c r="E18" t="s">
        <v>36</v>
      </c>
      <c r="F18">
        <v>1</v>
      </c>
      <c r="G18" t="s">
        <v>21</v>
      </c>
      <c r="H18">
        <v>7</v>
      </c>
      <c r="T18" t="s">
        <v>171</v>
      </c>
    </row>
    <row r="19" spans="1:20" x14ac:dyDescent="0.25">
      <c r="A19" s="2">
        <v>17</v>
      </c>
      <c r="B19" s="2" t="s">
        <v>19</v>
      </c>
      <c r="C19" s="2">
        <v>17</v>
      </c>
      <c r="E19" t="s">
        <v>38</v>
      </c>
      <c r="F19">
        <v>2</v>
      </c>
      <c r="G19" t="s">
        <v>23</v>
      </c>
      <c r="H19">
        <v>8</v>
      </c>
      <c r="T19" t="s">
        <v>171</v>
      </c>
    </row>
    <row r="20" spans="1:20" x14ac:dyDescent="0.25">
      <c r="A20" s="2">
        <v>18</v>
      </c>
      <c r="B20" s="2" t="s">
        <v>40</v>
      </c>
      <c r="C20" s="2">
        <v>18</v>
      </c>
      <c r="E20" t="s">
        <v>39</v>
      </c>
      <c r="F20">
        <v>1</v>
      </c>
      <c r="G20" t="s">
        <v>23</v>
      </c>
      <c r="H20">
        <v>8</v>
      </c>
      <c r="T20" t="s">
        <v>171</v>
      </c>
    </row>
    <row r="21" spans="1:20" x14ac:dyDescent="0.25">
      <c r="A21" s="2">
        <v>19</v>
      </c>
      <c r="B21" s="2" t="s">
        <v>42</v>
      </c>
      <c r="C21" s="2">
        <v>19</v>
      </c>
      <c r="E21" t="s">
        <v>41</v>
      </c>
      <c r="F21">
        <v>2.5</v>
      </c>
      <c r="G21" t="s">
        <v>23</v>
      </c>
      <c r="H21">
        <v>8</v>
      </c>
      <c r="T21" t="s">
        <v>171</v>
      </c>
    </row>
    <row r="22" spans="1:20" x14ac:dyDescent="0.25">
      <c r="A22" s="2">
        <v>20</v>
      </c>
      <c r="B22" s="2" t="s">
        <v>44</v>
      </c>
      <c r="C22" s="2">
        <v>20</v>
      </c>
      <c r="E22" t="s">
        <v>43</v>
      </c>
      <c r="F22">
        <v>5</v>
      </c>
      <c r="G22" t="s">
        <v>35</v>
      </c>
      <c r="H22">
        <v>15</v>
      </c>
      <c r="T22" t="s">
        <v>171</v>
      </c>
    </row>
    <row r="23" spans="1:20" x14ac:dyDescent="0.25">
      <c r="A23" s="2">
        <v>21</v>
      </c>
      <c r="B23" s="2" t="s">
        <v>46</v>
      </c>
      <c r="C23" s="2">
        <v>21</v>
      </c>
      <c r="E23" t="s">
        <v>45</v>
      </c>
      <c r="F23">
        <v>3</v>
      </c>
      <c r="G23" t="s">
        <v>37</v>
      </c>
      <c r="H23">
        <v>16</v>
      </c>
      <c r="T23" t="s">
        <v>171</v>
      </c>
    </row>
    <row r="24" spans="1:20" x14ac:dyDescent="0.25">
      <c r="A24" s="2">
        <v>22</v>
      </c>
      <c r="B24" s="2" t="s">
        <v>48</v>
      </c>
      <c r="C24" s="2">
        <v>22</v>
      </c>
      <c r="E24" t="s">
        <v>47</v>
      </c>
      <c r="F24">
        <v>2</v>
      </c>
      <c r="G24" t="s">
        <v>37</v>
      </c>
      <c r="H24">
        <v>16</v>
      </c>
      <c r="T24" t="s">
        <v>171</v>
      </c>
    </row>
    <row r="25" spans="1:20" x14ac:dyDescent="0.25">
      <c r="A25" s="2">
        <v>23</v>
      </c>
      <c r="B25" s="2" t="s">
        <v>50</v>
      </c>
      <c r="C25" s="2">
        <v>23</v>
      </c>
      <c r="E25" t="s">
        <v>49</v>
      </c>
      <c r="F25">
        <v>1</v>
      </c>
      <c r="G25" t="s">
        <v>37</v>
      </c>
      <c r="H25">
        <v>16</v>
      </c>
      <c r="T25" t="s">
        <v>171</v>
      </c>
    </row>
    <row r="26" spans="1:20" x14ac:dyDescent="0.25">
      <c r="A26" s="2">
        <v>24</v>
      </c>
      <c r="B26" s="2" t="s">
        <v>52</v>
      </c>
      <c r="C26" s="2">
        <v>24</v>
      </c>
      <c r="E26" t="s">
        <v>51</v>
      </c>
      <c r="F26">
        <v>2.5</v>
      </c>
      <c r="G26" t="s">
        <v>37</v>
      </c>
      <c r="H26">
        <v>16</v>
      </c>
      <c r="T26" t="s">
        <v>171</v>
      </c>
    </row>
    <row r="27" spans="1:20" x14ac:dyDescent="0.25">
      <c r="A27" s="2">
        <v>25</v>
      </c>
      <c r="B27" s="2" t="s">
        <v>54</v>
      </c>
      <c r="C27" s="2">
        <v>25</v>
      </c>
      <c r="E27" t="s">
        <v>53</v>
      </c>
      <c r="F27">
        <v>3.5</v>
      </c>
      <c r="G27" t="s">
        <v>37</v>
      </c>
      <c r="H27">
        <v>16</v>
      </c>
      <c r="T27" t="s">
        <v>171</v>
      </c>
    </row>
    <row r="28" spans="1:20" x14ac:dyDescent="0.25">
      <c r="A28" s="2">
        <v>26</v>
      </c>
      <c r="B28" s="2" t="s">
        <v>55</v>
      </c>
      <c r="C28" s="2">
        <v>26</v>
      </c>
      <c r="E28" t="s">
        <v>272</v>
      </c>
      <c r="F28">
        <v>2.5</v>
      </c>
      <c r="G28" t="s">
        <v>37</v>
      </c>
      <c r="H28">
        <v>16</v>
      </c>
    </row>
    <row r="29" spans="1:20" x14ac:dyDescent="0.25">
      <c r="A29" s="2">
        <v>27</v>
      </c>
      <c r="B29" s="2" t="s">
        <v>56</v>
      </c>
      <c r="C29" s="2">
        <v>27</v>
      </c>
    </row>
    <row r="30" spans="1:20" x14ac:dyDescent="0.25">
      <c r="A30" s="2">
        <v>28</v>
      </c>
      <c r="B30" s="2" t="s">
        <v>57</v>
      </c>
      <c r="C30" s="2">
        <v>28</v>
      </c>
    </row>
    <row r="31" spans="1:20" x14ac:dyDescent="0.25">
      <c r="A31" s="2">
        <v>29</v>
      </c>
      <c r="B31" s="2" t="s">
        <v>58</v>
      </c>
      <c r="C31" s="2">
        <v>29</v>
      </c>
    </row>
    <row r="32" spans="1:20" x14ac:dyDescent="0.25">
      <c r="A32" s="2">
        <v>30</v>
      </c>
      <c r="B32" s="2" t="s">
        <v>59</v>
      </c>
      <c r="C32" s="2">
        <v>30</v>
      </c>
    </row>
    <row r="33" spans="1:3" x14ac:dyDescent="0.25">
      <c r="A33" s="2">
        <v>31</v>
      </c>
      <c r="B33" s="2" t="s">
        <v>60</v>
      </c>
      <c r="C33" s="2">
        <v>31</v>
      </c>
    </row>
    <row r="34" spans="1:3" x14ac:dyDescent="0.25">
      <c r="A34" s="2">
        <v>32</v>
      </c>
      <c r="B34" s="2" t="s">
        <v>61</v>
      </c>
      <c r="C34" s="2">
        <v>32</v>
      </c>
    </row>
    <row r="35" spans="1:3" x14ac:dyDescent="0.25">
      <c r="A35" s="2">
        <v>33</v>
      </c>
      <c r="B35" s="2" t="s">
        <v>62</v>
      </c>
      <c r="C35" s="2">
        <v>33</v>
      </c>
    </row>
    <row r="36" spans="1:3" x14ac:dyDescent="0.25">
      <c r="A36" s="2">
        <v>34</v>
      </c>
      <c r="B36" s="2" t="s">
        <v>63</v>
      </c>
      <c r="C36" s="2">
        <v>34</v>
      </c>
    </row>
    <row r="37" spans="1:3" x14ac:dyDescent="0.25">
      <c r="A37" s="2">
        <v>35</v>
      </c>
      <c r="B37" s="2" t="s">
        <v>9</v>
      </c>
      <c r="C37" s="2">
        <v>35</v>
      </c>
    </row>
    <row r="38" spans="1:3" x14ac:dyDescent="0.25">
      <c r="A38" s="2">
        <v>36</v>
      </c>
      <c r="B38" s="2" t="s">
        <v>64</v>
      </c>
      <c r="C38" s="2">
        <v>36</v>
      </c>
    </row>
    <row r="39" spans="1:3" x14ac:dyDescent="0.25">
      <c r="A39" s="2">
        <v>37</v>
      </c>
      <c r="B39" s="2" t="s">
        <v>65</v>
      </c>
      <c r="C39" s="2">
        <v>37</v>
      </c>
    </row>
    <row r="40" spans="1:3" x14ac:dyDescent="0.25">
      <c r="A40" s="2">
        <v>38</v>
      </c>
      <c r="B40" s="2" t="s">
        <v>66</v>
      </c>
      <c r="C40" s="2">
        <v>38</v>
      </c>
    </row>
    <row r="41" spans="1:3" x14ac:dyDescent="0.25">
      <c r="A41" s="2">
        <v>39</v>
      </c>
      <c r="B41" s="2" t="s">
        <v>67</v>
      </c>
      <c r="C41" s="2">
        <v>39</v>
      </c>
    </row>
    <row r="42" spans="1:3" x14ac:dyDescent="0.25">
      <c r="A42" s="2">
        <v>40</v>
      </c>
      <c r="B42" s="2" t="s">
        <v>68</v>
      </c>
      <c r="C42" s="2">
        <v>40</v>
      </c>
    </row>
    <row r="43" spans="1:3" x14ac:dyDescent="0.25">
      <c r="A43" s="2">
        <v>41</v>
      </c>
      <c r="B43" s="2" t="s">
        <v>69</v>
      </c>
      <c r="C43" s="2">
        <v>41</v>
      </c>
    </row>
    <row r="44" spans="1:3" x14ac:dyDescent="0.25">
      <c r="A44" s="2">
        <v>42</v>
      </c>
      <c r="B44" s="2" t="s">
        <v>70</v>
      </c>
      <c r="C44" s="2">
        <v>42</v>
      </c>
    </row>
    <row r="45" spans="1:3" x14ac:dyDescent="0.25">
      <c r="A45" s="2">
        <v>43</v>
      </c>
      <c r="B45" s="2" t="s">
        <v>71</v>
      </c>
      <c r="C45" s="2">
        <v>43</v>
      </c>
    </row>
    <row r="46" spans="1:3" x14ac:dyDescent="0.25">
      <c r="A46" s="2">
        <v>44</v>
      </c>
      <c r="B46" s="2" t="s">
        <v>72</v>
      </c>
      <c r="C46" s="2">
        <v>44</v>
      </c>
    </row>
    <row r="47" spans="1:3" x14ac:dyDescent="0.25">
      <c r="A47" s="2">
        <v>45</v>
      </c>
      <c r="B47" s="2" t="s">
        <v>73</v>
      </c>
      <c r="C47" s="2">
        <v>45</v>
      </c>
    </row>
    <row r="48" spans="1:3" x14ac:dyDescent="0.25">
      <c r="A48" s="2">
        <v>46</v>
      </c>
      <c r="B48" s="2" t="s">
        <v>74</v>
      </c>
      <c r="C48" s="2">
        <v>46</v>
      </c>
    </row>
    <row r="49" spans="1:3" x14ac:dyDescent="0.25">
      <c r="A49" s="2">
        <v>47</v>
      </c>
      <c r="B49" s="2" t="s">
        <v>75</v>
      </c>
      <c r="C49" s="2">
        <v>47</v>
      </c>
    </row>
    <row r="50" spans="1:3" x14ac:dyDescent="0.25">
      <c r="A50" s="2">
        <v>48</v>
      </c>
      <c r="B50" s="2" t="s">
        <v>76</v>
      </c>
      <c r="C50" s="2">
        <v>48</v>
      </c>
    </row>
    <row r="51" spans="1:3" x14ac:dyDescent="0.25">
      <c r="A51" s="2">
        <v>49</v>
      </c>
      <c r="B51" s="2" t="s">
        <v>77</v>
      </c>
      <c r="C51" s="2">
        <v>49</v>
      </c>
    </row>
    <row r="52" spans="1:3" x14ac:dyDescent="0.25">
      <c r="A52" s="2">
        <v>50</v>
      </c>
      <c r="B52" s="2" t="s">
        <v>78</v>
      </c>
      <c r="C52" s="2">
        <v>50</v>
      </c>
    </row>
    <row r="53" spans="1:3" x14ac:dyDescent="0.25">
      <c r="A53" s="2">
        <v>51</v>
      </c>
      <c r="B53" s="2" t="s">
        <v>79</v>
      </c>
      <c r="C53" s="2">
        <v>51</v>
      </c>
    </row>
    <row r="54" spans="1:3" x14ac:dyDescent="0.25">
      <c r="A54" s="2">
        <v>52</v>
      </c>
      <c r="B54" s="2" t="s">
        <v>80</v>
      </c>
      <c r="C54" s="2">
        <v>52</v>
      </c>
    </row>
    <row r="55" spans="1:3" x14ac:dyDescent="0.25">
      <c r="A55" s="2">
        <v>53</v>
      </c>
      <c r="B55" s="2" t="s">
        <v>24</v>
      </c>
      <c r="C55" s="2">
        <v>53</v>
      </c>
    </row>
    <row r="56" spans="1:3" x14ac:dyDescent="0.25">
      <c r="A56" s="2">
        <v>54</v>
      </c>
      <c r="B56" s="2" t="s">
        <v>81</v>
      </c>
      <c r="C56" s="2">
        <v>54</v>
      </c>
    </row>
    <row r="57" spans="1:3" x14ac:dyDescent="0.25">
      <c r="A57" s="2">
        <v>55</v>
      </c>
      <c r="B57" s="2" t="s">
        <v>82</v>
      </c>
      <c r="C57" s="2">
        <v>55</v>
      </c>
    </row>
    <row r="58" spans="1:3" x14ac:dyDescent="0.25">
      <c r="A58" s="2">
        <v>56</v>
      </c>
      <c r="B58" s="2" t="s">
        <v>83</v>
      </c>
      <c r="C58" s="2">
        <v>56</v>
      </c>
    </row>
    <row r="59" spans="1:3" x14ac:dyDescent="0.25">
      <c r="A59" s="2">
        <v>57</v>
      </c>
      <c r="B59" s="2" t="s">
        <v>84</v>
      </c>
      <c r="C59" s="2">
        <v>57</v>
      </c>
    </row>
    <row r="60" spans="1:3" x14ac:dyDescent="0.25">
      <c r="A60" s="2">
        <v>58</v>
      </c>
      <c r="B60" s="2" t="s">
        <v>85</v>
      </c>
      <c r="C60" s="2">
        <v>58</v>
      </c>
    </row>
    <row r="61" spans="1:3" x14ac:dyDescent="0.25">
      <c r="A61" s="2">
        <v>59</v>
      </c>
      <c r="B61" s="2" t="s">
        <v>86</v>
      </c>
      <c r="C61" s="2">
        <v>59</v>
      </c>
    </row>
    <row r="62" spans="1:3" x14ac:dyDescent="0.25">
      <c r="A62" s="2">
        <v>60</v>
      </c>
      <c r="B62" s="2" t="s">
        <v>87</v>
      </c>
      <c r="C62" s="2">
        <v>60</v>
      </c>
    </row>
    <row r="63" spans="1:3" x14ac:dyDescent="0.25">
      <c r="A63" s="2">
        <v>61</v>
      </c>
      <c r="B63" s="2" t="s">
        <v>88</v>
      </c>
      <c r="C63" s="2">
        <v>61</v>
      </c>
    </row>
    <row r="64" spans="1:3" x14ac:dyDescent="0.25">
      <c r="A64" s="2">
        <v>62</v>
      </c>
      <c r="B64" s="2" t="s">
        <v>89</v>
      </c>
      <c r="C64" s="2">
        <v>62</v>
      </c>
    </row>
    <row r="65" spans="1:3" x14ac:dyDescent="0.25">
      <c r="A65" s="2">
        <v>63</v>
      </c>
      <c r="B65" s="2" t="s">
        <v>90</v>
      </c>
      <c r="C65" s="2">
        <v>63</v>
      </c>
    </row>
    <row r="66" spans="1:3" x14ac:dyDescent="0.25">
      <c r="A66" s="2">
        <v>64</v>
      </c>
      <c r="B66" s="2" t="s">
        <v>91</v>
      </c>
      <c r="C66" s="2">
        <v>64</v>
      </c>
    </row>
    <row r="67" spans="1:3" x14ac:dyDescent="0.25">
      <c r="A67" s="2">
        <v>65</v>
      </c>
      <c r="B67" s="2" t="s">
        <v>92</v>
      </c>
      <c r="C67" s="2">
        <v>65</v>
      </c>
    </row>
    <row r="68" spans="1:3" x14ac:dyDescent="0.25">
      <c r="A68" s="2">
        <v>66</v>
      </c>
      <c r="B68" s="2" t="s">
        <v>93</v>
      </c>
      <c r="C68" s="2">
        <v>66</v>
      </c>
    </row>
    <row r="69" spans="1:3" x14ac:dyDescent="0.25">
      <c r="A69" s="2">
        <v>67</v>
      </c>
      <c r="B69" s="2" t="s">
        <v>94</v>
      </c>
      <c r="C69" s="2">
        <v>67</v>
      </c>
    </row>
    <row r="70" spans="1:3" x14ac:dyDescent="0.25">
      <c r="A70" s="2">
        <v>68</v>
      </c>
      <c r="B70" s="2" t="s">
        <v>95</v>
      </c>
      <c r="C70" s="2">
        <v>68</v>
      </c>
    </row>
    <row r="71" spans="1:3" x14ac:dyDescent="0.25">
      <c r="A71" s="2">
        <v>69</v>
      </c>
      <c r="B71" s="2" t="s">
        <v>96</v>
      </c>
      <c r="C71" s="2">
        <v>69</v>
      </c>
    </row>
    <row r="72" spans="1:3" x14ac:dyDescent="0.25">
      <c r="A72" s="2">
        <v>70</v>
      </c>
      <c r="B72" s="2" t="s">
        <v>97</v>
      </c>
      <c r="C72" s="2">
        <v>70</v>
      </c>
    </row>
    <row r="73" spans="1:3" x14ac:dyDescent="0.25">
      <c r="A73" s="2">
        <v>71</v>
      </c>
      <c r="B73" s="2" t="s">
        <v>98</v>
      </c>
      <c r="C73" s="2">
        <v>71</v>
      </c>
    </row>
    <row r="74" spans="1:3" x14ac:dyDescent="0.25">
      <c r="A74" s="2">
        <v>72</v>
      </c>
      <c r="B74" s="2" t="s">
        <v>99</v>
      </c>
      <c r="C74" s="2">
        <v>72</v>
      </c>
    </row>
    <row r="75" spans="1:3" x14ac:dyDescent="0.25">
      <c r="A75" s="2">
        <v>73</v>
      </c>
      <c r="B75" s="2" t="s">
        <v>100</v>
      </c>
      <c r="C75" s="2">
        <v>73</v>
      </c>
    </row>
    <row r="76" spans="1:3" x14ac:dyDescent="0.25">
      <c r="A76" s="2">
        <v>74</v>
      </c>
      <c r="B76" s="2" t="s">
        <v>101</v>
      </c>
      <c r="C76" s="2">
        <v>74</v>
      </c>
    </row>
    <row r="77" spans="1:3" x14ac:dyDescent="0.25">
      <c r="A77" s="2">
        <v>75</v>
      </c>
      <c r="B77" s="2" t="s">
        <v>102</v>
      </c>
      <c r="C77" s="2">
        <v>75</v>
      </c>
    </row>
    <row r="78" spans="1:3" x14ac:dyDescent="0.25">
      <c r="A78" s="2">
        <v>76</v>
      </c>
      <c r="B78" s="2" t="s">
        <v>103</v>
      </c>
      <c r="C78" s="2">
        <v>76</v>
      </c>
    </row>
    <row r="79" spans="1:3" x14ac:dyDescent="0.25">
      <c r="A79" s="2">
        <v>77</v>
      </c>
      <c r="B79" s="2" t="s">
        <v>104</v>
      </c>
      <c r="C79" s="2">
        <v>77</v>
      </c>
    </row>
    <row r="80" spans="1:3" x14ac:dyDescent="0.25">
      <c r="A80" s="2">
        <v>78</v>
      </c>
      <c r="B80" s="2" t="s">
        <v>105</v>
      </c>
      <c r="C80" s="2">
        <v>78</v>
      </c>
    </row>
    <row r="81" spans="1:3" x14ac:dyDescent="0.25">
      <c r="A81" s="2">
        <v>79</v>
      </c>
      <c r="B81" s="2" t="s">
        <v>106</v>
      </c>
      <c r="C81" s="2">
        <v>79</v>
      </c>
    </row>
    <row r="82" spans="1:3" x14ac:dyDescent="0.25">
      <c r="A82" s="2">
        <v>80</v>
      </c>
      <c r="B82" s="2" t="s">
        <v>107</v>
      </c>
      <c r="C82" s="2">
        <v>80</v>
      </c>
    </row>
    <row r="83" spans="1:3" x14ac:dyDescent="0.25">
      <c r="A83" s="2">
        <v>81</v>
      </c>
      <c r="B83" s="2" t="s">
        <v>108</v>
      </c>
      <c r="C83" s="2">
        <v>81</v>
      </c>
    </row>
    <row r="84" spans="1:3" x14ac:dyDescent="0.25">
      <c r="A84" s="2">
        <v>82</v>
      </c>
      <c r="B84" s="2" t="s">
        <v>109</v>
      </c>
      <c r="C84" s="2">
        <v>82</v>
      </c>
    </row>
    <row r="85" spans="1:3" x14ac:dyDescent="0.25">
      <c r="A85" s="2">
        <v>83</v>
      </c>
      <c r="B85" s="2" t="s">
        <v>110</v>
      </c>
      <c r="C85" s="2">
        <v>83</v>
      </c>
    </row>
    <row r="86" spans="1:3" x14ac:dyDescent="0.25">
      <c r="A86" s="2">
        <v>84</v>
      </c>
      <c r="B86" s="2" t="s">
        <v>111</v>
      </c>
      <c r="C86" s="2">
        <v>84</v>
      </c>
    </row>
    <row r="87" spans="1:3" x14ac:dyDescent="0.25">
      <c r="A87" s="2">
        <v>85</v>
      </c>
      <c r="B87" s="2" t="s">
        <v>112</v>
      </c>
      <c r="C87" s="2">
        <v>85</v>
      </c>
    </row>
    <row r="88" spans="1:3" x14ac:dyDescent="0.25">
      <c r="A88" s="2">
        <v>86</v>
      </c>
      <c r="B88" s="2" t="s">
        <v>113</v>
      </c>
      <c r="C88" s="2">
        <v>86</v>
      </c>
    </row>
    <row r="89" spans="1:3" x14ac:dyDescent="0.25">
      <c r="A89" s="2">
        <v>87</v>
      </c>
      <c r="B89" s="2" t="s">
        <v>114</v>
      </c>
      <c r="C89" s="2">
        <v>87</v>
      </c>
    </row>
    <row r="90" spans="1:3" x14ac:dyDescent="0.25">
      <c r="A90" s="2">
        <v>88</v>
      </c>
      <c r="B90" s="2" t="s">
        <v>115</v>
      </c>
      <c r="C90" s="2">
        <v>88</v>
      </c>
    </row>
    <row r="91" spans="1:3" x14ac:dyDescent="0.25">
      <c r="A91" s="2">
        <v>89</v>
      </c>
      <c r="B91" s="2" t="s">
        <v>116</v>
      </c>
      <c r="C91" s="2">
        <v>89</v>
      </c>
    </row>
    <row r="92" spans="1:3" x14ac:dyDescent="0.25">
      <c r="A92" s="2">
        <v>90</v>
      </c>
      <c r="B92" s="2" t="s">
        <v>117</v>
      </c>
      <c r="C92" s="2">
        <v>90</v>
      </c>
    </row>
    <row r="93" spans="1:3" x14ac:dyDescent="0.25">
      <c r="A93" s="2">
        <v>91</v>
      </c>
      <c r="B93" s="2" t="s">
        <v>118</v>
      </c>
      <c r="C93" s="2">
        <v>91</v>
      </c>
    </row>
    <row r="94" spans="1:3" x14ac:dyDescent="0.25">
      <c r="A94" s="2">
        <v>92</v>
      </c>
      <c r="B94" s="2" t="s">
        <v>119</v>
      </c>
      <c r="C94" s="2">
        <v>92</v>
      </c>
    </row>
    <row r="95" spans="1:3" x14ac:dyDescent="0.25">
      <c r="A95" s="2">
        <v>93</v>
      </c>
      <c r="B95" s="2" t="s">
        <v>120</v>
      </c>
      <c r="C95" s="2">
        <v>93</v>
      </c>
    </row>
    <row r="96" spans="1:3" x14ac:dyDescent="0.25">
      <c r="A96" s="2">
        <v>94</v>
      </c>
      <c r="B96" s="2" t="s">
        <v>121</v>
      </c>
      <c r="C96" s="2">
        <v>94</v>
      </c>
    </row>
    <row r="97" spans="1:3" x14ac:dyDescent="0.25">
      <c r="A97" s="2">
        <v>95</v>
      </c>
      <c r="B97" s="2" t="s">
        <v>122</v>
      </c>
      <c r="C97" s="2">
        <v>95</v>
      </c>
    </row>
    <row r="98" spans="1:3" x14ac:dyDescent="0.25">
      <c r="A98" s="2">
        <v>96</v>
      </c>
      <c r="B98" s="2" t="s">
        <v>123</v>
      </c>
      <c r="C98" s="2">
        <v>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sortState ref="A2:AA27">
    <sortCondition descending="1" ref="R2:R2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A208"/>
  <sheetViews>
    <sheetView topLeftCell="A165" workbookViewId="0">
      <selection activeCell="B179" sqref="B179:AA208"/>
    </sheetView>
  </sheetViews>
  <sheetFormatPr defaultRowHeight="15" x14ac:dyDescent="0.25"/>
  <sheetData>
    <row r="2" spans="1:22" x14ac:dyDescent="0.25">
      <c r="A2" t="s">
        <v>141</v>
      </c>
      <c r="E2" t="s">
        <v>142</v>
      </c>
      <c r="F2" t="s">
        <v>143</v>
      </c>
      <c r="G2" t="s">
        <v>1</v>
      </c>
      <c r="H2" t="s">
        <v>144</v>
      </c>
      <c r="I2" t="s">
        <v>145</v>
      </c>
      <c r="J2" t="s">
        <v>146</v>
      </c>
      <c r="K2" t="s">
        <v>147</v>
      </c>
      <c r="L2" t="s">
        <v>148</v>
      </c>
      <c r="M2" t="s">
        <v>149</v>
      </c>
      <c r="N2" t="s">
        <v>149</v>
      </c>
      <c r="O2" t="s">
        <v>149</v>
      </c>
      <c r="P2" t="s">
        <v>149</v>
      </c>
      <c r="Q2" t="s">
        <v>149</v>
      </c>
      <c r="R2" t="s">
        <v>149</v>
      </c>
      <c r="S2" t="s">
        <v>149</v>
      </c>
      <c r="T2" t="s">
        <v>149</v>
      </c>
      <c r="U2" t="s">
        <v>149</v>
      </c>
      <c r="V2" t="s">
        <v>149</v>
      </c>
    </row>
    <row r="3" spans="1:22" x14ac:dyDescent="0.25">
      <c r="B3">
        <v>1</v>
      </c>
      <c r="C3">
        <v>1</v>
      </c>
      <c r="D3">
        <v>2</v>
      </c>
      <c r="E3">
        <v>1</v>
      </c>
      <c r="F3" t="s">
        <v>18</v>
      </c>
      <c r="G3" t="s">
        <v>12</v>
      </c>
      <c r="H3">
        <v>2.5</v>
      </c>
      <c r="I3">
        <v>6</v>
      </c>
      <c r="J3" t="s">
        <v>150</v>
      </c>
      <c r="K3" t="s">
        <v>151</v>
      </c>
      <c r="L3">
        <f>COUNTIF(C2:D13,B3)</f>
        <v>3</v>
      </c>
      <c r="M3">
        <f>SUM(L4,L5,L11)</f>
        <v>7</v>
      </c>
      <c r="N3">
        <f>SUM(M4,M5,M11)</f>
        <v>17</v>
      </c>
      <c r="O3">
        <f t="shared" ref="O3:V3" si="0">SUM(N4,N5,N11)</f>
        <v>39</v>
      </c>
      <c r="P3">
        <f t="shared" si="0"/>
        <v>97</v>
      </c>
      <c r="Q3">
        <f t="shared" si="0"/>
        <v>217</v>
      </c>
      <c r="R3">
        <f t="shared" si="0"/>
        <v>547</v>
      </c>
      <c r="S3">
        <f t="shared" si="0"/>
        <v>1211</v>
      </c>
      <c r="T3">
        <f t="shared" si="0"/>
        <v>3069</v>
      </c>
      <c r="U3">
        <f t="shared" si="0"/>
        <v>6767</v>
      </c>
      <c r="V3">
        <f t="shared" si="0"/>
        <v>17185</v>
      </c>
    </row>
    <row r="4" spans="1:22" x14ac:dyDescent="0.25">
      <c r="B4">
        <v>2</v>
      </c>
      <c r="C4">
        <v>1</v>
      </c>
      <c r="D4">
        <v>3</v>
      </c>
      <c r="E4">
        <v>2</v>
      </c>
      <c r="F4" t="s">
        <v>18</v>
      </c>
      <c r="G4" t="s">
        <v>12</v>
      </c>
      <c r="H4">
        <v>2.5</v>
      </c>
      <c r="I4">
        <v>6</v>
      </c>
      <c r="J4" t="s">
        <v>152</v>
      </c>
      <c r="K4" t="s">
        <v>153</v>
      </c>
      <c r="L4">
        <f>COUNTIF(C2:D13,B4)</f>
        <v>3</v>
      </c>
      <c r="M4">
        <f>SUM(L3,L6,L10)</f>
        <v>7</v>
      </c>
      <c r="N4">
        <f t="shared" ref="N4:V4" si="1">SUM(M3,M6,M10)</f>
        <v>16</v>
      </c>
      <c r="O4">
        <f t="shared" si="1"/>
        <v>40</v>
      </c>
      <c r="P4">
        <f t="shared" si="1"/>
        <v>89</v>
      </c>
      <c r="Q4">
        <f t="shared" si="1"/>
        <v>225</v>
      </c>
      <c r="R4">
        <f t="shared" si="1"/>
        <v>497</v>
      </c>
      <c r="S4">
        <f t="shared" si="1"/>
        <v>1261</v>
      </c>
      <c r="T4">
        <f t="shared" si="1"/>
        <v>2778</v>
      </c>
      <c r="U4">
        <f t="shared" si="1"/>
        <v>7058</v>
      </c>
      <c r="V4">
        <f t="shared" si="1"/>
        <v>15533</v>
      </c>
    </row>
    <row r="5" spans="1:22" x14ac:dyDescent="0.25">
      <c r="B5">
        <v>3</v>
      </c>
      <c r="C5">
        <v>1</v>
      </c>
      <c r="D5">
        <v>9</v>
      </c>
      <c r="E5">
        <v>3</v>
      </c>
      <c r="F5" t="s">
        <v>18</v>
      </c>
      <c r="G5" t="s">
        <v>12</v>
      </c>
      <c r="H5">
        <v>2.5</v>
      </c>
      <c r="I5">
        <v>6</v>
      </c>
      <c r="J5" t="s">
        <v>154</v>
      </c>
      <c r="K5" t="s">
        <v>155</v>
      </c>
      <c r="L5">
        <f>COUNTIF(C2:D13,B5)</f>
        <v>3</v>
      </c>
      <c r="M5">
        <f>SUM(L3,L9,L7)</f>
        <v>7</v>
      </c>
      <c r="N5">
        <f t="shared" ref="N5:V5" si="2">SUM(M3,M9,M7)</f>
        <v>16</v>
      </c>
      <c r="O5">
        <f t="shared" si="2"/>
        <v>40</v>
      </c>
      <c r="P5">
        <f t="shared" si="2"/>
        <v>89</v>
      </c>
      <c r="Q5">
        <f t="shared" si="2"/>
        <v>225</v>
      </c>
      <c r="R5">
        <f t="shared" si="2"/>
        <v>497</v>
      </c>
      <c r="S5">
        <f t="shared" si="2"/>
        <v>1261</v>
      </c>
      <c r="T5">
        <f t="shared" si="2"/>
        <v>2778</v>
      </c>
      <c r="U5">
        <f t="shared" si="2"/>
        <v>7058</v>
      </c>
      <c r="V5">
        <f t="shared" si="2"/>
        <v>15533</v>
      </c>
    </row>
    <row r="6" spans="1:22" x14ac:dyDescent="0.25">
      <c r="B6">
        <v>4</v>
      </c>
      <c r="C6">
        <v>2</v>
      </c>
      <c r="D6">
        <v>4</v>
      </c>
      <c r="E6">
        <v>4</v>
      </c>
      <c r="F6" t="s">
        <v>18</v>
      </c>
      <c r="G6" t="s">
        <v>12</v>
      </c>
      <c r="H6">
        <v>2.5</v>
      </c>
      <c r="I6">
        <v>6</v>
      </c>
      <c r="J6" t="s">
        <v>156</v>
      </c>
      <c r="K6" t="s">
        <v>157</v>
      </c>
      <c r="L6">
        <f>COUNTIF(C2:D13,B6)</f>
        <v>3</v>
      </c>
      <c r="M6">
        <f>SUM(L4,L8,L12)</f>
        <v>6</v>
      </c>
      <c r="N6">
        <f t="shared" ref="N6:V6" si="3">SUM(M4,M8,M12)</f>
        <v>16</v>
      </c>
      <c r="O6">
        <f t="shared" si="3"/>
        <v>34</v>
      </c>
      <c r="P6">
        <f t="shared" si="3"/>
        <v>88</v>
      </c>
      <c r="Q6">
        <f t="shared" si="3"/>
        <v>191</v>
      </c>
      <c r="R6">
        <f t="shared" si="3"/>
        <v>489</v>
      </c>
      <c r="S6">
        <f t="shared" si="3"/>
        <v>1070</v>
      </c>
      <c r="T6">
        <f t="shared" si="3"/>
        <v>2728</v>
      </c>
      <c r="U6">
        <f t="shared" si="3"/>
        <v>5988</v>
      </c>
      <c r="V6">
        <f t="shared" si="3"/>
        <v>15242</v>
      </c>
    </row>
    <row r="7" spans="1:22" x14ac:dyDescent="0.25">
      <c r="B7">
        <v>5</v>
      </c>
      <c r="C7">
        <v>2</v>
      </c>
      <c r="D7">
        <v>8</v>
      </c>
      <c r="E7">
        <v>5</v>
      </c>
      <c r="F7" t="s">
        <v>18</v>
      </c>
      <c r="G7" t="s">
        <v>12</v>
      </c>
      <c r="H7">
        <v>2.5</v>
      </c>
      <c r="I7">
        <v>6</v>
      </c>
      <c r="J7" t="s">
        <v>158</v>
      </c>
      <c r="K7" t="s">
        <v>159</v>
      </c>
      <c r="L7">
        <f>COUNTIF(C2:D13,B7)</f>
        <v>3</v>
      </c>
      <c r="M7">
        <f>SUM(L5,L13,L8)</f>
        <v>6</v>
      </c>
      <c r="N7">
        <f t="shared" ref="N7:V7" si="4">SUM(M5,M13,M8)</f>
        <v>16</v>
      </c>
      <c r="O7">
        <f t="shared" si="4"/>
        <v>34</v>
      </c>
      <c r="P7">
        <f t="shared" si="4"/>
        <v>88</v>
      </c>
      <c r="Q7">
        <f t="shared" si="4"/>
        <v>191</v>
      </c>
      <c r="R7">
        <f t="shared" si="4"/>
        <v>489</v>
      </c>
      <c r="S7">
        <f t="shared" si="4"/>
        <v>1070</v>
      </c>
      <c r="T7">
        <f t="shared" si="4"/>
        <v>2728</v>
      </c>
      <c r="U7">
        <f t="shared" si="4"/>
        <v>5988</v>
      </c>
      <c r="V7">
        <f t="shared" si="4"/>
        <v>15242</v>
      </c>
    </row>
    <row r="8" spans="1:22" x14ac:dyDescent="0.25">
      <c r="B8">
        <v>6</v>
      </c>
      <c r="C8">
        <v>3</v>
      </c>
      <c r="D8">
        <v>7</v>
      </c>
      <c r="E8">
        <v>6</v>
      </c>
      <c r="F8" t="s">
        <v>18</v>
      </c>
      <c r="G8" t="s">
        <v>12</v>
      </c>
      <c r="H8">
        <v>2.5</v>
      </c>
      <c r="I8">
        <v>6</v>
      </c>
      <c r="J8" t="s">
        <v>160</v>
      </c>
      <c r="K8" t="s">
        <v>161</v>
      </c>
      <c r="L8">
        <f>COUNTIF(C2:D13,B8)</f>
        <v>2</v>
      </c>
      <c r="M8">
        <f>SUM(L6,L7)</f>
        <v>6</v>
      </c>
      <c r="N8">
        <f t="shared" ref="N8:V8" si="5">SUM(M6,M7)</f>
        <v>12</v>
      </c>
      <c r="O8">
        <f t="shared" si="5"/>
        <v>32</v>
      </c>
      <c r="P8">
        <f t="shared" si="5"/>
        <v>68</v>
      </c>
      <c r="Q8">
        <f t="shared" si="5"/>
        <v>176</v>
      </c>
      <c r="R8">
        <f t="shared" si="5"/>
        <v>382</v>
      </c>
      <c r="S8">
        <f t="shared" si="5"/>
        <v>978</v>
      </c>
      <c r="T8">
        <f t="shared" si="5"/>
        <v>2140</v>
      </c>
      <c r="U8">
        <f t="shared" si="5"/>
        <v>5456</v>
      </c>
      <c r="V8">
        <f t="shared" si="5"/>
        <v>11976</v>
      </c>
    </row>
    <row r="9" spans="1:22" x14ac:dyDescent="0.25">
      <c r="B9">
        <v>7</v>
      </c>
      <c r="C9">
        <v>4</v>
      </c>
      <c r="D9">
        <v>6</v>
      </c>
      <c r="E9">
        <v>7</v>
      </c>
      <c r="F9" t="s">
        <v>19</v>
      </c>
      <c r="G9" t="s">
        <v>20</v>
      </c>
      <c r="H9">
        <v>1</v>
      </c>
      <c r="I9">
        <v>17</v>
      </c>
      <c r="J9">
        <v>3</v>
      </c>
      <c r="K9" t="s">
        <v>162</v>
      </c>
      <c r="L9">
        <f>COUNTIF(C2:D13,B9)</f>
        <v>1</v>
      </c>
      <c r="M9">
        <f>SUM(L5)</f>
        <v>3</v>
      </c>
      <c r="N9">
        <f t="shared" ref="N9:V9" si="6">SUM(M5)</f>
        <v>7</v>
      </c>
      <c r="O9">
        <f t="shared" si="6"/>
        <v>16</v>
      </c>
      <c r="P9">
        <f t="shared" si="6"/>
        <v>40</v>
      </c>
      <c r="Q9">
        <f t="shared" si="6"/>
        <v>89</v>
      </c>
      <c r="R9">
        <f t="shared" si="6"/>
        <v>225</v>
      </c>
      <c r="S9">
        <f t="shared" si="6"/>
        <v>497</v>
      </c>
      <c r="T9">
        <f t="shared" si="6"/>
        <v>1261</v>
      </c>
      <c r="U9">
        <f t="shared" si="6"/>
        <v>2778</v>
      </c>
      <c r="V9">
        <f t="shared" si="6"/>
        <v>7058</v>
      </c>
    </row>
    <row r="10" spans="1:22" x14ac:dyDescent="0.25">
      <c r="B10">
        <v>8</v>
      </c>
      <c r="C10">
        <v>4</v>
      </c>
      <c r="D10">
        <v>10</v>
      </c>
      <c r="E10">
        <v>8</v>
      </c>
      <c r="F10" t="s">
        <v>39</v>
      </c>
      <c r="G10" t="s">
        <v>23</v>
      </c>
      <c r="H10">
        <v>1</v>
      </c>
      <c r="I10">
        <v>8</v>
      </c>
      <c r="J10">
        <v>2</v>
      </c>
      <c r="K10" t="s">
        <v>163</v>
      </c>
      <c r="L10">
        <f>COUNTIF(C2:D13,B10)</f>
        <v>1</v>
      </c>
      <c r="M10">
        <f>SUM(L4)</f>
        <v>3</v>
      </c>
      <c r="N10">
        <f t="shared" ref="N10:V10" si="7">SUM(M4)</f>
        <v>7</v>
      </c>
      <c r="O10">
        <f t="shared" si="7"/>
        <v>16</v>
      </c>
      <c r="P10">
        <f t="shared" si="7"/>
        <v>40</v>
      </c>
      <c r="Q10">
        <f t="shared" si="7"/>
        <v>89</v>
      </c>
      <c r="R10">
        <f t="shared" si="7"/>
        <v>225</v>
      </c>
      <c r="S10">
        <f t="shared" si="7"/>
        <v>497</v>
      </c>
      <c r="T10">
        <f t="shared" si="7"/>
        <v>1261</v>
      </c>
      <c r="U10">
        <f t="shared" si="7"/>
        <v>2778</v>
      </c>
      <c r="V10">
        <f t="shared" si="7"/>
        <v>7058</v>
      </c>
    </row>
    <row r="11" spans="1:22" x14ac:dyDescent="0.25">
      <c r="B11">
        <v>9</v>
      </c>
      <c r="C11">
        <v>5</v>
      </c>
      <c r="D11">
        <v>3</v>
      </c>
      <c r="E11">
        <v>9</v>
      </c>
      <c r="F11" t="s">
        <v>19</v>
      </c>
      <c r="G11" t="s">
        <v>20</v>
      </c>
      <c r="H11">
        <v>1</v>
      </c>
      <c r="I11">
        <v>17</v>
      </c>
      <c r="J11">
        <v>1</v>
      </c>
      <c r="K11" t="s">
        <v>164</v>
      </c>
      <c r="L11">
        <f>COUNTIF(C2:D13,B11)</f>
        <v>1</v>
      </c>
      <c r="M11">
        <f>SUM(L3)</f>
        <v>3</v>
      </c>
      <c r="N11">
        <f t="shared" ref="N11:V11" si="8">SUM(M3)</f>
        <v>7</v>
      </c>
      <c r="O11">
        <f t="shared" si="8"/>
        <v>17</v>
      </c>
      <c r="P11">
        <f t="shared" si="8"/>
        <v>39</v>
      </c>
      <c r="Q11">
        <f t="shared" si="8"/>
        <v>97</v>
      </c>
      <c r="R11">
        <f t="shared" si="8"/>
        <v>217</v>
      </c>
      <c r="S11">
        <f t="shared" si="8"/>
        <v>547</v>
      </c>
      <c r="T11">
        <f t="shared" si="8"/>
        <v>1211</v>
      </c>
      <c r="U11">
        <f t="shared" si="8"/>
        <v>3069</v>
      </c>
      <c r="V11">
        <f t="shared" si="8"/>
        <v>6767</v>
      </c>
    </row>
    <row r="12" spans="1:22" x14ac:dyDescent="0.25">
      <c r="B12">
        <v>10</v>
      </c>
      <c r="C12">
        <v>5</v>
      </c>
      <c r="D12">
        <v>11</v>
      </c>
      <c r="E12">
        <v>10</v>
      </c>
      <c r="F12" t="s">
        <v>19</v>
      </c>
      <c r="G12" t="s">
        <v>20</v>
      </c>
      <c r="H12">
        <v>1</v>
      </c>
      <c r="I12">
        <v>17</v>
      </c>
      <c r="J12">
        <v>4</v>
      </c>
      <c r="K12" t="s">
        <v>165</v>
      </c>
      <c r="L12">
        <f>COUNTIF(C2:D13,B12)</f>
        <v>1</v>
      </c>
      <c r="M12">
        <f>SUM(L6)</f>
        <v>3</v>
      </c>
      <c r="N12">
        <f t="shared" ref="N12:V13" si="9">SUM(M6)</f>
        <v>6</v>
      </c>
      <c r="O12">
        <f t="shared" si="9"/>
        <v>16</v>
      </c>
      <c r="P12">
        <f t="shared" si="9"/>
        <v>34</v>
      </c>
      <c r="Q12">
        <f t="shared" si="9"/>
        <v>88</v>
      </c>
      <c r="R12">
        <f t="shared" si="9"/>
        <v>191</v>
      </c>
      <c r="S12">
        <f t="shared" si="9"/>
        <v>489</v>
      </c>
      <c r="T12">
        <f t="shared" si="9"/>
        <v>1070</v>
      </c>
      <c r="U12">
        <f t="shared" si="9"/>
        <v>2728</v>
      </c>
      <c r="V12">
        <f t="shared" si="9"/>
        <v>5988</v>
      </c>
    </row>
    <row r="13" spans="1:22" x14ac:dyDescent="0.25">
      <c r="B13">
        <v>11</v>
      </c>
      <c r="C13">
        <v>6</v>
      </c>
      <c r="D13">
        <v>5</v>
      </c>
      <c r="E13">
        <v>11</v>
      </c>
      <c r="F13" t="s">
        <v>19</v>
      </c>
      <c r="G13" t="s">
        <v>20</v>
      </c>
      <c r="H13">
        <v>1</v>
      </c>
      <c r="I13">
        <v>17</v>
      </c>
      <c r="J13">
        <v>5</v>
      </c>
      <c r="K13" t="s">
        <v>166</v>
      </c>
      <c r="L13">
        <f>COUNTIF(C2:D13,B13)</f>
        <v>1</v>
      </c>
      <c r="M13">
        <f>SUM(L7)</f>
        <v>3</v>
      </c>
      <c r="N13">
        <f t="shared" si="9"/>
        <v>6</v>
      </c>
      <c r="O13">
        <f t="shared" si="9"/>
        <v>16</v>
      </c>
      <c r="P13">
        <f t="shared" si="9"/>
        <v>34</v>
      </c>
      <c r="Q13">
        <f t="shared" si="9"/>
        <v>88</v>
      </c>
      <c r="R13">
        <f t="shared" si="9"/>
        <v>191</v>
      </c>
      <c r="S13">
        <f t="shared" si="9"/>
        <v>489</v>
      </c>
      <c r="T13">
        <f t="shared" si="9"/>
        <v>1070</v>
      </c>
      <c r="U13">
        <f t="shared" si="9"/>
        <v>2728</v>
      </c>
      <c r="V13">
        <f t="shared" si="9"/>
        <v>5988</v>
      </c>
    </row>
    <row r="15" spans="1:22" x14ac:dyDescent="0.25">
      <c r="M15">
        <f>SUM(IF(FREQUENCY(M3:M13,M3:M13)&gt;0,1))</f>
        <v>3</v>
      </c>
      <c r="N15">
        <f t="shared" ref="N15:V15" si="10">SUM(IF(FREQUENCY(N3:N13,N3:N13)&gt;0,1))</f>
        <v>5</v>
      </c>
      <c r="O15">
        <f t="shared" si="10"/>
        <v>6</v>
      </c>
      <c r="P15">
        <f t="shared" si="10"/>
        <v>7</v>
      </c>
      <c r="Q15">
        <f t="shared" si="10"/>
        <v>7</v>
      </c>
      <c r="R15">
        <f t="shared" si="10"/>
        <v>7</v>
      </c>
      <c r="S15">
        <f t="shared" si="10"/>
        <v>7</v>
      </c>
      <c r="T15">
        <f t="shared" si="10"/>
        <v>7</v>
      </c>
      <c r="U15">
        <f t="shared" si="10"/>
        <v>7</v>
      </c>
      <c r="V15">
        <f t="shared" si="10"/>
        <v>7</v>
      </c>
    </row>
    <row r="16" spans="1:22" x14ac:dyDescent="0.25">
      <c r="A16">
        <v>2</v>
      </c>
      <c r="E16" t="s">
        <v>142</v>
      </c>
      <c r="F16" t="s">
        <v>143</v>
      </c>
      <c r="G16" t="s">
        <v>1</v>
      </c>
      <c r="H16" t="s">
        <v>144</v>
      </c>
      <c r="I16" t="s">
        <v>145</v>
      </c>
      <c r="J16" t="s">
        <v>146</v>
      </c>
      <c r="K16" t="s">
        <v>147</v>
      </c>
      <c r="L16" t="s">
        <v>148</v>
      </c>
      <c r="M16" t="s">
        <v>149</v>
      </c>
      <c r="N16" t="s">
        <v>149</v>
      </c>
      <c r="O16" t="s">
        <v>149</v>
      </c>
      <c r="P16" t="s">
        <v>149</v>
      </c>
      <c r="Q16" t="s">
        <v>149</v>
      </c>
      <c r="R16" t="s">
        <v>149</v>
      </c>
      <c r="S16" t="s">
        <v>149</v>
      </c>
      <c r="T16" t="s">
        <v>149</v>
      </c>
      <c r="U16" t="s">
        <v>149</v>
      </c>
      <c r="V16" t="s">
        <v>149</v>
      </c>
    </row>
    <row r="17" spans="1:22" x14ac:dyDescent="0.25">
      <c r="B17">
        <v>1</v>
      </c>
      <c r="C17">
        <v>1</v>
      </c>
      <c r="D17">
        <v>5</v>
      </c>
      <c r="E17">
        <v>3</v>
      </c>
      <c r="F17" t="s">
        <v>19</v>
      </c>
      <c r="G17" t="s">
        <v>20</v>
      </c>
      <c r="H17">
        <v>1</v>
      </c>
      <c r="I17">
        <v>17</v>
      </c>
      <c r="J17">
        <v>5</v>
      </c>
      <c r="K17" t="s">
        <v>166</v>
      </c>
      <c r="L17">
        <f>COUNTIF(C16:D21,B17)</f>
        <v>1</v>
      </c>
      <c r="M17">
        <f>SUM(L21)</f>
        <v>3</v>
      </c>
      <c r="N17">
        <f t="shared" ref="N17:V17" si="11">SUM(M21)</f>
        <v>5</v>
      </c>
      <c r="O17">
        <f t="shared" si="11"/>
        <v>13</v>
      </c>
      <c r="P17">
        <f t="shared" si="11"/>
        <v>23</v>
      </c>
      <c r="Q17">
        <f t="shared" si="11"/>
        <v>59</v>
      </c>
      <c r="R17">
        <f t="shared" si="11"/>
        <v>105</v>
      </c>
      <c r="S17">
        <f t="shared" si="11"/>
        <v>269</v>
      </c>
      <c r="T17">
        <f t="shared" si="11"/>
        <v>479</v>
      </c>
      <c r="U17">
        <f t="shared" si="11"/>
        <v>1227</v>
      </c>
      <c r="V17">
        <f t="shared" si="11"/>
        <v>2185</v>
      </c>
    </row>
    <row r="18" spans="1:22" x14ac:dyDescent="0.25">
      <c r="B18">
        <v>2</v>
      </c>
      <c r="C18">
        <v>2</v>
      </c>
      <c r="D18">
        <v>5</v>
      </c>
      <c r="E18">
        <v>4</v>
      </c>
      <c r="F18" t="s">
        <v>19</v>
      </c>
      <c r="G18" t="s">
        <v>20</v>
      </c>
      <c r="H18">
        <v>1</v>
      </c>
      <c r="I18">
        <v>17</v>
      </c>
      <c r="J18">
        <v>5</v>
      </c>
      <c r="K18" t="s">
        <v>166</v>
      </c>
      <c r="L18">
        <f>COUNTIF(C16:D21,B18)</f>
        <v>1</v>
      </c>
      <c r="M18">
        <f>SUM(L21)</f>
        <v>3</v>
      </c>
      <c r="N18">
        <f t="shared" ref="N18:V18" si="12">SUM(M21)</f>
        <v>5</v>
      </c>
      <c r="O18">
        <f t="shared" si="12"/>
        <v>13</v>
      </c>
      <c r="P18">
        <f t="shared" si="12"/>
        <v>23</v>
      </c>
      <c r="Q18">
        <f t="shared" si="12"/>
        <v>59</v>
      </c>
      <c r="R18">
        <f t="shared" si="12"/>
        <v>105</v>
      </c>
      <c r="S18">
        <f t="shared" si="12"/>
        <v>269</v>
      </c>
      <c r="T18">
        <f t="shared" si="12"/>
        <v>479</v>
      </c>
      <c r="U18">
        <f t="shared" si="12"/>
        <v>1227</v>
      </c>
      <c r="V18">
        <f t="shared" si="12"/>
        <v>2185</v>
      </c>
    </row>
    <row r="19" spans="1:22" x14ac:dyDescent="0.25">
      <c r="B19">
        <v>3</v>
      </c>
      <c r="C19">
        <v>3</v>
      </c>
      <c r="D19">
        <v>4</v>
      </c>
      <c r="E19">
        <v>5</v>
      </c>
      <c r="F19" t="s">
        <v>38</v>
      </c>
      <c r="G19" t="s">
        <v>23</v>
      </c>
      <c r="H19">
        <v>2</v>
      </c>
      <c r="I19">
        <v>8</v>
      </c>
      <c r="J19">
        <v>4</v>
      </c>
      <c r="K19" t="s">
        <v>165</v>
      </c>
      <c r="L19">
        <f>COUNTIF(C16:D21,B19)</f>
        <v>1</v>
      </c>
      <c r="M19">
        <f>SUM(L20)</f>
        <v>3</v>
      </c>
      <c r="N19">
        <f t="shared" ref="N19:V19" si="13">SUM(M20)</f>
        <v>7</v>
      </c>
      <c r="O19">
        <f t="shared" si="13"/>
        <v>13</v>
      </c>
      <c r="P19">
        <f t="shared" si="13"/>
        <v>33</v>
      </c>
      <c r="Q19">
        <f t="shared" si="13"/>
        <v>59</v>
      </c>
      <c r="R19">
        <f t="shared" si="13"/>
        <v>151</v>
      </c>
      <c r="S19">
        <f t="shared" si="13"/>
        <v>269</v>
      </c>
      <c r="T19">
        <f t="shared" si="13"/>
        <v>689</v>
      </c>
      <c r="U19">
        <f t="shared" si="13"/>
        <v>1227</v>
      </c>
      <c r="V19">
        <f t="shared" si="13"/>
        <v>3143</v>
      </c>
    </row>
    <row r="20" spans="1:22" x14ac:dyDescent="0.25">
      <c r="B20">
        <v>4</v>
      </c>
      <c r="C20">
        <v>4</v>
      </c>
      <c r="D20">
        <v>5</v>
      </c>
      <c r="E20">
        <v>1</v>
      </c>
      <c r="F20" t="s">
        <v>14</v>
      </c>
      <c r="G20" t="s">
        <v>12</v>
      </c>
      <c r="H20">
        <v>2</v>
      </c>
      <c r="I20">
        <v>6</v>
      </c>
      <c r="J20" t="s">
        <v>277</v>
      </c>
      <c r="K20" t="s">
        <v>278</v>
      </c>
      <c r="L20">
        <f>COUNTIF(C16:D21,B20)</f>
        <v>3</v>
      </c>
      <c r="M20">
        <f>SUM(L19,L21,L21)</f>
        <v>7</v>
      </c>
      <c r="N20">
        <f t="shared" ref="N20:V20" si="14">SUM(M19,M21,M21)</f>
        <v>13</v>
      </c>
      <c r="O20">
        <f t="shared" si="14"/>
        <v>33</v>
      </c>
      <c r="P20">
        <f t="shared" si="14"/>
        <v>59</v>
      </c>
      <c r="Q20">
        <f t="shared" si="14"/>
        <v>151</v>
      </c>
      <c r="R20">
        <f t="shared" si="14"/>
        <v>269</v>
      </c>
      <c r="S20">
        <f t="shared" si="14"/>
        <v>689</v>
      </c>
      <c r="T20">
        <f t="shared" si="14"/>
        <v>1227</v>
      </c>
      <c r="U20">
        <f t="shared" si="14"/>
        <v>3143</v>
      </c>
      <c r="V20">
        <f t="shared" si="14"/>
        <v>5597</v>
      </c>
    </row>
    <row r="21" spans="1:22" x14ac:dyDescent="0.25">
      <c r="B21">
        <v>5</v>
      </c>
      <c r="C21">
        <v>4</v>
      </c>
      <c r="D21">
        <v>6</v>
      </c>
      <c r="E21">
        <v>2</v>
      </c>
      <c r="F21" t="s">
        <v>16</v>
      </c>
      <c r="G21" t="s">
        <v>12</v>
      </c>
      <c r="H21">
        <v>1</v>
      </c>
      <c r="I21">
        <v>6</v>
      </c>
      <c r="J21" t="s">
        <v>279</v>
      </c>
      <c r="K21" t="s">
        <v>280</v>
      </c>
      <c r="L21">
        <f>COUNTIF(C16:D21,B21)</f>
        <v>3</v>
      </c>
      <c r="M21">
        <f>SUM(L17,L18,L20)</f>
        <v>5</v>
      </c>
      <c r="N21">
        <f t="shared" ref="N21:V21" si="15">SUM(M17,M18,M20)</f>
        <v>13</v>
      </c>
      <c r="O21">
        <f t="shared" si="15"/>
        <v>23</v>
      </c>
      <c r="P21">
        <f t="shared" si="15"/>
        <v>59</v>
      </c>
      <c r="Q21">
        <f t="shared" si="15"/>
        <v>105</v>
      </c>
      <c r="R21">
        <f t="shared" si="15"/>
        <v>269</v>
      </c>
      <c r="S21">
        <f t="shared" si="15"/>
        <v>479</v>
      </c>
      <c r="T21">
        <f t="shared" si="15"/>
        <v>1227</v>
      </c>
      <c r="U21">
        <f t="shared" si="15"/>
        <v>2185</v>
      </c>
      <c r="V21">
        <f t="shared" si="15"/>
        <v>5597</v>
      </c>
    </row>
    <row r="23" spans="1:22" x14ac:dyDescent="0.25">
      <c r="M23">
        <f>SUM(IF(FREQUENCY(M17:M21,M17:M21)&gt;0,1))</f>
        <v>3</v>
      </c>
      <c r="N23">
        <f t="shared" ref="N23:V23" si="16">SUM(IF(FREQUENCY(N17:N21,N17:N21)&gt;0,1))</f>
        <v>3</v>
      </c>
      <c r="O23">
        <f t="shared" si="16"/>
        <v>3</v>
      </c>
      <c r="P23">
        <f t="shared" si="16"/>
        <v>3</v>
      </c>
      <c r="Q23">
        <f t="shared" si="16"/>
        <v>3</v>
      </c>
      <c r="R23">
        <f t="shared" si="16"/>
        <v>3</v>
      </c>
      <c r="S23">
        <f t="shared" si="16"/>
        <v>3</v>
      </c>
      <c r="T23">
        <f t="shared" si="16"/>
        <v>3</v>
      </c>
      <c r="U23">
        <f t="shared" si="16"/>
        <v>3</v>
      </c>
      <c r="V23">
        <f t="shared" si="16"/>
        <v>3</v>
      </c>
    </row>
    <row r="24" spans="1:22" x14ac:dyDescent="0.25">
      <c r="A24">
        <v>2</v>
      </c>
      <c r="E24" t="s">
        <v>142</v>
      </c>
      <c r="F24" t="s">
        <v>143</v>
      </c>
      <c r="G24" t="s">
        <v>1</v>
      </c>
      <c r="H24" t="s">
        <v>144</v>
      </c>
      <c r="I24" t="s">
        <v>145</v>
      </c>
      <c r="J24" t="s">
        <v>146</v>
      </c>
      <c r="K24" t="s">
        <v>147</v>
      </c>
      <c r="L24" t="s">
        <v>148</v>
      </c>
      <c r="M24" t="s">
        <v>149</v>
      </c>
      <c r="N24" t="s">
        <v>149</v>
      </c>
      <c r="O24" t="s">
        <v>149</v>
      </c>
      <c r="P24" t="s">
        <v>149</v>
      </c>
      <c r="Q24" t="s">
        <v>149</v>
      </c>
      <c r="R24" t="s">
        <v>149</v>
      </c>
      <c r="S24" t="s">
        <v>149</v>
      </c>
      <c r="T24" t="s">
        <v>149</v>
      </c>
      <c r="U24" t="s">
        <v>149</v>
      </c>
      <c r="V24" t="s">
        <v>149</v>
      </c>
    </row>
    <row r="25" spans="1:22" x14ac:dyDescent="0.25">
      <c r="B25">
        <v>1</v>
      </c>
      <c r="C25">
        <v>1</v>
      </c>
      <c r="D25">
        <v>5</v>
      </c>
      <c r="E25">
        <v>3</v>
      </c>
      <c r="F25" t="s">
        <v>19</v>
      </c>
      <c r="G25" t="s">
        <v>20</v>
      </c>
      <c r="H25">
        <v>1</v>
      </c>
      <c r="I25">
        <v>17</v>
      </c>
      <c r="J25">
        <v>5</v>
      </c>
      <c r="K25" t="s">
        <v>166</v>
      </c>
      <c r="L25">
        <f>COUNTIF(C24:D29,B25)</f>
        <v>1</v>
      </c>
      <c r="M25">
        <f>SUM(L29)</f>
        <v>3</v>
      </c>
      <c r="N25">
        <f t="shared" ref="N25:V25" si="17">SUM(M29)</f>
        <v>5</v>
      </c>
      <c r="O25">
        <f t="shared" si="17"/>
        <v>13</v>
      </c>
      <c r="P25">
        <f t="shared" si="17"/>
        <v>23</v>
      </c>
      <c r="Q25">
        <f t="shared" si="17"/>
        <v>59</v>
      </c>
      <c r="R25">
        <f t="shared" si="17"/>
        <v>105</v>
      </c>
      <c r="S25">
        <f t="shared" si="17"/>
        <v>269</v>
      </c>
      <c r="T25">
        <f t="shared" si="17"/>
        <v>479</v>
      </c>
      <c r="U25">
        <f t="shared" si="17"/>
        <v>1227</v>
      </c>
      <c r="V25">
        <f t="shared" si="17"/>
        <v>2185</v>
      </c>
    </row>
    <row r="26" spans="1:22" x14ac:dyDescent="0.25">
      <c r="B26">
        <v>2</v>
      </c>
      <c r="C26">
        <v>2</v>
      </c>
      <c r="D26">
        <v>5</v>
      </c>
      <c r="E26">
        <v>4</v>
      </c>
      <c r="F26" t="s">
        <v>19</v>
      </c>
      <c r="G26" t="s">
        <v>20</v>
      </c>
      <c r="H26">
        <v>1</v>
      </c>
      <c r="I26">
        <v>17</v>
      </c>
      <c r="J26">
        <v>5</v>
      </c>
      <c r="K26" t="s">
        <v>166</v>
      </c>
      <c r="L26">
        <f>COUNTIF(C24:D29,B26)</f>
        <v>1</v>
      </c>
      <c r="M26">
        <f>SUM(L29)</f>
        <v>3</v>
      </c>
      <c r="N26">
        <f t="shared" ref="N26:V26" si="18">SUM(M29)</f>
        <v>5</v>
      </c>
      <c r="O26">
        <f t="shared" si="18"/>
        <v>13</v>
      </c>
      <c r="P26">
        <f t="shared" si="18"/>
        <v>23</v>
      </c>
      <c r="Q26">
        <f t="shared" si="18"/>
        <v>59</v>
      </c>
      <c r="R26">
        <f t="shared" si="18"/>
        <v>105</v>
      </c>
      <c r="S26">
        <f t="shared" si="18"/>
        <v>269</v>
      </c>
      <c r="T26">
        <f t="shared" si="18"/>
        <v>479</v>
      </c>
      <c r="U26">
        <f t="shared" si="18"/>
        <v>1227</v>
      </c>
      <c r="V26">
        <f t="shared" si="18"/>
        <v>2185</v>
      </c>
    </row>
    <row r="27" spans="1:22" x14ac:dyDescent="0.25">
      <c r="B27">
        <v>3</v>
      </c>
      <c r="C27">
        <v>3</v>
      </c>
      <c r="D27">
        <v>4</v>
      </c>
      <c r="E27">
        <v>5</v>
      </c>
      <c r="F27" t="s">
        <v>38</v>
      </c>
      <c r="G27" t="s">
        <v>23</v>
      </c>
      <c r="H27">
        <v>2</v>
      </c>
      <c r="I27">
        <v>8</v>
      </c>
      <c r="J27">
        <v>4</v>
      </c>
      <c r="K27" t="s">
        <v>165</v>
      </c>
      <c r="L27">
        <f>COUNTIF(C24:D29,B27)</f>
        <v>1</v>
      </c>
      <c r="M27">
        <f>SUM(L28)</f>
        <v>3</v>
      </c>
      <c r="N27">
        <f t="shared" ref="N27:V27" si="19">SUM(M28)</f>
        <v>7</v>
      </c>
      <c r="O27">
        <f t="shared" si="19"/>
        <v>13</v>
      </c>
      <c r="P27">
        <f t="shared" si="19"/>
        <v>33</v>
      </c>
      <c r="Q27">
        <f t="shared" si="19"/>
        <v>59</v>
      </c>
      <c r="R27">
        <f t="shared" si="19"/>
        <v>151</v>
      </c>
      <c r="S27">
        <f t="shared" si="19"/>
        <v>269</v>
      </c>
      <c r="T27">
        <f t="shared" si="19"/>
        <v>689</v>
      </c>
      <c r="U27">
        <f t="shared" si="19"/>
        <v>1227</v>
      </c>
      <c r="V27">
        <f t="shared" si="19"/>
        <v>3143</v>
      </c>
    </row>
    <row r="28" spans="1:22" x14ac:dyDescent="0.25">
      <c r="B28">
        <v>4</v>
      </c>
      <c r="C28">
        <v>4</v>
      </c>
      <c r="D28">
        <v>5</v>
      </c>
      <c r="E28">
        <v>1</v>
      </c>
      <c r="F28" t="s">
        <v>14</v>
      </c>
      <c r="G28" t="s">
        <v>12</v>
      </c>
      <c r="H28">
        <v>2</v>
      </c>
      <c r="I28">
        <v>6</v>
      </c>
      <c r="J28" t="s">
        <v>277</v>
      </c>
      <c r="K28" t="s">
        <v>278</v>
      </c>
      <c r="L28">
        <f>COUNTIF(C24:D29,B28)</f>
        <v>3</v>
      </c>
      <c r="M28">
        <f>SUM(L27,L29,L29)</f>
        <v>7</v>
      </c>
      <c r="N28">
        <f t="shared" ref="N28:V28" si="20">SUM(M27,M29,M29)</f>
        <v>13</v>
      </c>
      <c r="O28">
        <f t="shared" si="20"/>
        <v>33</v>
      </c>
      <c r="P28">
        <f t="shared" si="20"/>
        <v>59</v>
      </c>
      <c r="Q28">
        <f t="shared" si="20"/>
        <v>151</v>
      </c>
      <c r="R28">
        <f t="shared" si="20"/>
        <v>269</v>
      </c>
      <c r="S28">
        <f t="shared" si="20"/>
        <v>689</v>
      </c>
      <c r="T28">
        <f t="shared" si="20"/>
        <v>1227</v>
      </c>
      <c r="U28">
        <f t="shared" si="20"/>
        <v>3143</v>
      </c>
      <c r="V28">
        <f t="shared" si="20"/>
        <v>5597</v>
      </c>
    </row>
    <row r="29" spans="1:22" x14ac:dyDescent="0.25">
      <c r="B29">
        <v>5</v>
      </c>
      <c r="C29">
        <v>4</v>
      </c>
      <c r="D29">
        <v>6</v>
      </c>
      <c r="E29">
        <v>2</v>
      </c>
      <c r="F29" t="s">
        <v>16</v>
      </c>
      <c r="G29" t="s">
        <v>12</v>
      </c>
      <c r="H29">
        <v>1</v>
      </c>
      <c r="I29">
        <v>6</v>
      </c>
      <c r="J29" t="s">
        <v>279</v>
      </c>
      <c r="K29" t="s">
        <v>280</v>
      </c>
      <c r="L29">
        <f>COUNTIF(C24:D29,B29)</f>
        <v>3</v>
      </c>
      <c r="M29">
        <f>SUM(L25,L26,L28)</f>
        <v>5</v>
      </c>
      <c r="N29">
        <f t="shared" ref="N29:V29" si="21">SUM(M25,M26,M28)</f>
        <v>13</v>
      </c>
      <c r="O29">
        <f t="shared" si="21"/>
        <v>23</v>
      </c>
      <c r="P29">
        <f t="shared" si="21"/>
        <v>59</v>
      </c>
      <c r="Q29">
        <f t="shared" si="21"/>
        <v>105</v>
      </c>
      <c r="R29">
        <f t="shared" si="21"/>
        <v>269</v>
      </c>
      <c r="S29">
        <f t="shared" si="21"/>
        <v>479</v>
      </c>
      <c r="T29">
        <f t="shared" si="21"/>
        <v>1227</v>
      </c>
      <c r="U29">
        <f t="shared" si="21"/>
        <v>2185</v>
      </c>
      <c r="V29">
        <f t="shared" si="21"/>
        <v>5597</v>
      </c>
    </row>
    <row r="31" spans="1:22" x14ac:dyDescent="0.25">
      <c r="M31">
        <f>SUM(IF(FREQUENCY(M25:M29,M25:M29)&gt;0,1))</f>
        <v>3</v>
      </c>
      <c r="N31">
        <f t="shared" ref="N31:V31" si="22">SUM(IF(FREQUENCY(N25:N29,N25:N29)&gt;0,1))</f>
        <v>3</v>
      </c>
      <c r="O31">
        <f t="shared" si="22"/>
        <v>3</v>
      </c>
      <c r="P31">
        <f t="shared" si="22"/>
        <v>3</v>
      </c>
      <c r="Q31">
        <f t="shared" si="22"/>
        <v>3</v>
      </c>
      <c r="R31">
        <f t="shared" si="22"/>
        <v>3</v>
      </c>
      <c r="S31">
        <f t="shared" si="22"/>
        <v>3</v>
      </c>
      <c r="T31">
        <f t="shared" si="22"/>
        <v>3</v>
      </c>
      <c r="U31">
        <f t="shared" si="22"/>
        <v>3</v>
      </c>
      <c r="V31">
        <f t="shared" si="22"/>
        <v>3</v>
      </c>
    </row>
    <row r="32" spans="1:22" x14ac:dyDescent="0.25">
      <c r="A32">
        <v>2</v>
      </c>
      <c r="E32" t="s">
        <v>142</v>
      </c>
      <c r="F32" t="s">
        <v>143</v>
      </c>
      <c r="G32" t="s">
        <v>1</v>
      </c>
      <c r="H32" t="s">
        <v>144</v>
      </c>
      <c r="I32" t="s">
        <v>145</v>
      </c>
      <c r="J32" t="s">
        <v>146</v>
      </c>
      <c r="K32" t="s">
        <v>147</v>
      </c>
      <c r="L32" t="s">
        <v>148</v>
      </c>
      <c r="M32" t="s">
        <v>149</v>
      </c>
      <c r="N32" t="s">
        <v>149</v>
      </c>
      <c r="O32" t="s">
        <v>149</v>
      </c>
      <c r="P32" t="s">
        <v>149</v>
      </c>
      <c r="Q32" t="s">
        <v>149</v>
      </c>
      <c r="R32" t="s">
        <v>149</v>
      </c>
      <c r="S32" t="s">
        <v>149</v>
      </c>
      <c r="T32" t="s">
        <v>149</v>
      </c>
      <c r="U32" t="s">
        <v>149</v>
      </c>
      <c r="V32" t="s">
        <v>149</v>
      </c>
    </row>
    <row r="33" spans="1:22" x14ac:dyDescent="0.25">
      <c r="B33">
        <v>1</v>
      </c>
      <c r="C33">
        <v>1</v>
      </c>
      <c r="D33">
        <v>5</v>
      </c>
      <c r="E33">
        <v>3</v>
      </c>
      <c r="F33" t="s">
        <v>19</v>
      </c>
      <c r="G33" t="s">
        <v>20</v>
      </c>
      <c r="H33">
        <v>1</v>
      </c>
      <c r="I33">
        <v>17</v>
      </c>
      <c r="J33">
        <v>5</v>
      </c>
      <c r="K33" t="s">
        <v>166</v>
      </c>
      <c r="L33">
        <f>COUNTIF(C32:D37,B33)</f>
        <v>1</v>
      </c>
      <c r="M33">
        <f>SUM(L37)</f>
        <v>3</v>
      </c>
      <c r="N33">
        <f t="shared" ref="N33:V33" si="23">SUM(M37)</f>
        <v>5</v>
      </c>
      <c r="O33">
        <f t="shared" si="23"/>
        <v>13</v>
      </c>
      <c r="P33">
        <f t="shared" si="23"/>
        <v>23</v>
      </c>
      <c r="Q33">
        <f t="shared" si="23"/>
        <v>59</v>
      </c>
      <c r="R33">
        <f t="shared" si="23"/>
        <v>105</v>
      </c>
      <c r="S33">
        <f t="shared" si="23"/>
        <v>269</v>
      </c>
      <c r="T33">
        <f t="shared" si="23"/>
        <v>479</v>
      </c>
      <c r="U33">
        <f t="shared" si="23"/>
        <v>1227</v>
      </c>
      <c r="V33">
        <f t="shared" si="23"/>
        <v>2185</v>
      </c>
    </row>
    <row r="34" spans="1:22" x14ac:dyDescent="0.25">
      <c r="B34">
        <v>2</v>
      </c>
      <c r="C34">
        <v>2</v>
      </c>
      <c r="D34">
        <v>5</v>
      </c>
      <c r="E34">
        <v>4</v>
      </c>
      <c r="F34" t="s">
        <v>19</v>
      </c>
      <c r="G34" t="s">
        <v>20</v>
      </c>
      <c r="H34">
        <v>1</v>
      </c>
      <c r="I34">
        <v>17</v>
      </c>
      <c r="J34">
        <v>5</v>
      </c>
      <c r="K34" t="s">
        <v>166</v>
      </c>
      <c r="L34">
        <f>COUNTIF(C32:D37,B34)</f>
        <v>1</v>
      </c>
      <c r="M34">
        <f>SUM(L37)</f>
        <v>3</v>
      </c>
      <c r="N34">
        <f t="shared" ref="N34:V34" si="24">SUM(M37)</f>
        <v>5</v>
      </c>
      <c r="O34">
        <f t="shared" si="24"/>
        <v>13</v>
      </c>
      <c r="P34">
        <f t="shared" si="24"/>
        <v>23</v>
      </c>
      <c r="Q34">
        <f t="shared" si="24"/>
        <v>59</v>
      </c>
      <c r="R34">
        <f t="shared" si="24"/>
        <v>105</v>
      </c>
      <c r="S34">
        <f t="shared" si="24"/>
        <v>269</v>
      </c>
      <c r="T34">
        <f t="shared" si="24"/>
        <v>479</v>
      </c>
      <c r="U34">
        <f t="shared" si="24"/>
        <v>1227</v>
      </c>
      <c r="V34">
        <f t="shared" si="24"/>
        <v>2185</v>
      </c>
    </row>
    <row r="35" spans="1:22" x14ac:dyDescent="0.25">
      <c r="B35">
        <v>3</v>
      </c>
      <c r="C35">
        <v>3</v>
      </c>
      <c r="D35">
        <v>4</v>
      </c>
      <c r="E35">
        <v>5</v>
      </c>
      <c r="F35" t="s">
        <v>38</v>
      </c>
      <c r="G35" t="s">
        <v>23</v>
      </c>
      <c r="H35">
        <v>2</v>
      </c>
      <c r="I35">
        <v>8</v>
      </c>
      <c r="J35">
        <v>4</v>
      </c>
      <c r="K35" t="s">
        <v>165</v>
      </c>
      <c r="L35">
        <f>COUNTIF(C32:D37,B35)</f>
        <v>1</v>
      </c>
      <c r="M35">
        <f>SUM(L36)</f>
        <v>3</v>
      </c>
      <c r="N35">
        <f t="shared" ref="N35:V35" si="25">SUM(M36)</f>
        <v>7</v>
      </c>
      <c r="O35">
        <f t="shared" si="25"/>
        <v>13</v>
      </c>
      <c r="P35">
        <f t="shared" si="25"/>
        <v>33</v>
      </c>
      <c r="Q35">
        <f t="shared" si="25"/>
        <v>59</v>
      </c>
      <c r="R35">
        <f t="shared" si="25"/>
        <v>151</v>
      </c>
      <c r="S35">
        <f t="shared" si="25"/>
        <v>269</v>
      </c>
      <c r="T35">
        <f t="shared" si="25"/>
        <v>689</v>
      </c>
      <c r="U35">
        <f t="shared" si="25"/>
        <v>1227</v>
      </c>
      <c r="V35">
        <f t="shared" si="25"/>
        <v>3143</v>
      </c>
    </row>
    <row r="36" spans="1:22" x14ac:dyDescent="0.25">
      <c r="B36">
        <v>4</v>
      </c>
      <c r="C36">
        <v>4</v>
      </c>
      <c r="D36">
        <v>5</v>
      </c>
      <c r="E36">
        <v>1</v>
      </c>
      <c r="F36" t="s">
        <v>14</v>
      </c>
      <c r="G36" t="s">
        <v>12</v>
      </c>
      <c r="H36">
        <v>2</v>
      </c>
      <c r="I36">
        <v>6</v>
      </c>
      <c r="J36" t="s">
        <v>277</v>
      </c>
      <c r="K36" t="s">
        <v>278</v>
      </c>
      <c r="L36">
        <f>COUNTIF(C32:D37,B36)</f>
        <v>3</v>
      </c>
      <c r="M36">
        <f>SUM(L35,L37,L37)</f>
        <v>7</v>
      </c>
      <c r="N36">
        <f t="shared" ref="N36:V36" si="26">SUM(M35,M37,M37)</f>
        <v>13</v>
      </c>
      <c r="O36">
        <f t="shared" si="26"/>
        <v>33</v>
      </c>
      <c r="P36">
        <f t="shared" si="26"/>
        <v>59</v>
      </c>
      <c r="Q36">
        <f t="shared" si="26"/>
        <v>151</v>
      </c>
      <c r="R36">
        <f t="shared" si="26"/>
        <v>269</v>
      </c>
      <c r="S36">
        <f t="shared" si="26"/>
        <v>689</v>
      </c>
      <c r="T36">
        <f t="shared" si="26"/>
        <v>1227</v>
      </c>
      <c r="U36">
        <f t="shared" si="26"/>
        <v>3143</v>
      </c>
      <c r="V36">
        <f t="shared" si="26"/>
        <v>5597</v>
      </c>
    </row>
    <row r="37" spans="1:22" x14ac:dyDescent="0.25">
      <c r="B37">
        <v>5</v>
      </c>
      <c r="C37">
        <v>4</v>
      </c>
      <c r="D37">
        <v>6</v>
      </c>
      <c r="E37">
        <v>2</v>
      </c>
      <c r="F37" t="s">
        <v>16</v>
      </c>
      <c r="G37" t="s">
        <v>12</v>
      </c>
      <c r="H37">
        <v>1</v>
      </c>
      <c r="I37">
        <v>6</v>
      </c>
      <c r="J37" t="s">
        <v>279</v>
      </c>
      <c r="K37" t="s">
        <v>280</v>
      </c>
      <c r="L37">
        <f>COUNTIF(C32:D37,B37)</f>
        <v>3</v>
      </c>
      <c r="M37">
        <f>SUM(L33,L34,L36)</f>
        <v>5</v>
      </c>
      <c r="N37">
        <f t="shared" ref="N37:V37" si="27">SUM(M33,M34,M36)</f>
        <v>13</v>
      </c>
      <c r="O37">
        <f t="shared" si="27"/>
        <v>23</v>
      </c>
      <c r="P37">
        <f t="shared" si="27"/>
        <v>59</v>
      </c>
      <c r="Q37">
        <f t="shared" si="27"/>
        <v>105</v>
      </c>
      <c r="R37">
        <f t="shared" si="27"/>
        <v>269</v>
      </c>
      <c r="S37">
        <f t="shared" si="27"/>
        <v>479</v>
      </c>
      <c r="T37">
        <f t="shared" si="27"/>
        <v>1227</v>
      </c>
      <c r="U37">
        <f t="shared" si="27"/>
        <v>2185</v>
      </c>
      <c r="V37">
        <f t="shared" si="27"/>
        <v>5597</v>
      </c>
    </row>
    <row r="39" spans="1:22" x14ac:dyDescent="0.25">
      <c r="M39">
        <f>SUM(IF(FREQUENCY(M33:M37,M33:M37)&gt;0,1))</f>
        <v>3</v>
      </c>
      <c r="N39">
        <f t="shared" ref="N39:V39" si="28">SUM(IF(FREQUENCY(N33:N37,N33:N37)&gt;0,1))</f>
        <v>3</v>
      </c>
      <c r="O39">
        <f t="shared" si="28"/>
        <v>3</v>
      </c>
      <c r="P39">
        <f t="shared" si="28"/>
        <v>3</v>
      </c>
      <c r="Q39">
        <f t="shared" si="28"/>
        <v>3</v>
      </c>
      <c r="R39">
        <f t="shared" si="28"/>
        <v>3</v>
      </c>
      <c r="S39">
        <f t="shared" si="28"/>
        <v>3</v>
      </c>
      <c r="T39">
        <f t="shared" si="28"/>
        <v>3</v>
      </c>
      <c r="U39">
        <f t="shared" si="28"/>
        <v>3</v>
      </c>
      <c r="V39">
        <f t="shared" si="28"/>
        <v>3</v>
      </c>
    </row>
    <row r="40" spans="1:22" x14ac:dyDescent="0.25">
      <c r="A40" t="s">
        <v>281</v>
      </c>
      <c r="E40" t="s">
        <v>142</v>
      </c>
      <c r="F40" t="s">
        <v>143</v>
      </c>
      <c r="G40" t="s">
        <v>1</v>
      </c>
      <c r="H40" t="s">
        <v>144</v>
      </c>
      <c r="I40" t="s">
        <v>145</v>
      </c>
      <c r="J40" t="s">
        <v>146</v>
      </c>
      <c r="K40" t="s">
        <v>147</v>
      </c>
      <c r="L40" t="s">
        <v>148</v>
      </c>
      <c r="M40" t="s">
        <v>149</v>
      </c>
      <c r="N40" t="s">
        <v>149</v>
      </c>
      <c r="O40" t="s">
        <v>149</v>
      </c>
      <c r="P40" t="s">
        <v>149</v>
      </c>
      <c r="Q40" t="s">
        <v>149</v>
      </c>
      <c r="R40" t="s">
        <v>149</v>
      </c>
      <c r="S40" t="s">
        <v>149</v>
      </c>
      <c r="T40" t="s">
        <v>149</v>
      </c>
      <c r="U40" t="s">
        <v>149</v>
      </c>
      <c r="V40" t="s">
        <v>149</v>
      </c>
    </row>
    <row r="41" spans="1:22" x14ac:dyDescent="0.25">
      <c r="B41">
        <v>1</v>
      </c>
      <c r="C41">
        <v>1</v>
      </c>
      <c r="D41">
        <v>2</v>
      </c>
      <c r="E41">
        <v>11</v>
      </c>
      <c r="F41" t="s">
        <v>16</v>
      </c>
      <c r="G41" t="s">
        <v>12</v>
      </c>
      <c r="H41">
        <v>1</v>
      </c>
      <c r="I41">
        <v>6</v>
      </c>
      <c r="J41">
        <v>2</v>
      </c>
      <c r="K41" t="s">
        <v>163</v>
      </c>
      <c r="L41">
        <f>COUNTIF(C40:D51,B41)</f>
        <v>1</v>
      </c>
      <c r="M41">
        <f>SUM(L42)</f>
        <v>3</v>
      </c>
      <c r="N41">
        <f t="shared" ref="N41:V41" si="29">SUM(M42)</f>
        <v>4</v>
      </c>
      <c r="O41">
        <f t="shared" si="29"/>
        <v>12</v>
      </c>
      <c r="P41">
        <f t="shared" si="29"/>
        <v>18</v>
      </c>
      <c r="Q41">
        <f t="shared" si="29"/>
        <v>52</v>
      </c>
      <c r="R41">
        <f t="shared" si="29"/>
        <v>86</v>
      </c>
      <c r="S41">
        <f t="shared" si="29"/>
        <v>236</v>
      </c>
      <c r="T41">
        <f t="shared" si="29"/>
        <v>420</v>
      </c>
      <c r="U41">
        <f t="shared" si="29"/>
        <v>1102</v>
      </c>
      <c r="V41">
        <f t="shared" si="29"/>
        <v>2066</v>
      </c>
    </row>
    <row r="42" spans="1:22" x14ac:dyDescent="0.25">
      <c r="B42">
        <v>2</v>
      </c>
      <c r="C42">
        <v>2</v>
      </c>
      <c r="D42">
        <v>3</v>
      </c>
      <c r="E42">
        <v>8</v>
      </c>
      <c r="F42" t="s">
        <v>14</v>
      </c>
      <c r="G42" t="s">
        <v>12</v>
      </c>
      <c r="H42">
        <v>2</v>
      </c>
      <c r="I42">
        <v>6</v>
      </c>
      <c r="J42" t="s">
        <v>282</v>
      </c>
      <c r="K42" t="s">
        <v>283</v>
      </c>
      <c r="L42">
        <f>COUNTIF(C40:D51,B42)</f>
        <v>3</v>
      </c>
      <c r="M42">
        <f>SUM(L41,L43,L44)</f>
        <v>4</v>
      </c>
      <c r="N42">
        <f t="shared" ref="N42:V42" si="30">SUM(M41,M43,M44)</f>
        <v>12</v>
      </c>
      <c r="O42">
        <f t="shared" si="30"/>
        <v>18</v>
      </c>
      <c r="P42">
        <f t="shared" si="30"/>
        <v>52</v>
      </c>
      <c r="Q42">
        <f t="shared" si="30"/>
        <v>86</v>
      </c>
      <c r="R42">
        <f t="shared" si="30"/>
        <v>236</v>
      </c>
      <c r="S42">
        <f t="shared" si="30"/>
        <v>420</v>
      </c>
      <c r="T42">
        <f t="shared" si="30"/>
        <v>1102</v>
      </c>
      <c r="U42">
        <f t="shared" si="30"/>
        <v>2066</v>
      </c>
      <c r="V42">
        <f t="shared" si="30"/>
        <v>5240</v>
      </c>
    </row>
    <row r="43" spans="1:22" x14ac:dyDescent="0.25">
      <c r="B43">
        <v>3</v>
      </c>
      <c r="C43">
        <v>2</v>
      </c>
      <c r="D43">
        <v>4</v>
      </c>
      <c r="E43">
        <v>10</v>
      </c>
      <c r="F43" t="s">
        <v>38</v>
      </c>
      <c r="G43" t="s">
        <v>23</v>
      </c>
      <c r="H43">
        <v>2</v>
      </c>
      <c r="I43">
        <v>8</v>
      </c>
      <c r="J43">
        <v>2</v>
      </c>
      <c r="K43" t="s">
        <v>163</v>
      </c>
      <c r="L43">
        <f>COUNTIF(C40:D51,B43)</f>
        <v>1</v>
      </c>
      <c r="M43">
        <f>SUM(L42)</f>
        <v>3</v>
      </c>
      <c r="N43">
        <f t="shared" ref="N43:V43" si="31">SUM(M42)</f>
        <v>4</v>
      </c>
      <c r="O43">
        <f t="shared" si="31"/>
        <v>12</v>
      </c>
      <c r="P43">
        <f t="shared" si="31"/>
        <v>18</v>
      </c>
      <c r="Q43">
        <f t="shared" si="31"/>
        <v>52</v>
      </c>
      <c r="R43">
        <f t="shared" si="31"/>
        <v>86</v>
      </c>
      <c r="S43">
        <f t="shared" si="31"/>
        <v>236</v>
      </c>
      <c r="T43">
        <f t="shared" si="31"/>
        <v>420</v>
      </c>
      <c r="U43">
        <f t="shared" si="31"/>
        <v>1102</v>
      </c>
      <c r="V43">
        <f t="shared" si="31"/>
        <v>2066</v>
      </c>
    </row>
    <row r="44" spans="1:22" x14ac:dyDescent="0.25">
      <c r="B44">
        <v>4</v>
      </c>
      <c r="C44">
        <v>4</v>
      </c>
      <c r="D44">
        <v>5</v>
      </c>
      <c r="E44">
        <v>2</v>
      </c>
      <c r="F44" t="s">
        <v>32</v>
      </c>
      <c r="G44" t="s">
        <v>21</v>
      </c>
      <c r="H44">
        <v>2.75</v>
      </c>
      <c r="I44">
        <v>7</v>
      </c>
      <c r="J44" t="s">
        <v>284</v>
      </c>
      <c r="K44" t="s">
        <v>285</v>
      </c>
      <c r="L44">
        <f>COUNTIF(C40:D51,B44)</f>
        <v>2</v>
      </c>
      <c r="M44">
        <f>SUM(L42,L45)</f>
        <v>6</v>
      </c>
      <c r="N44">
        <f t="shared" ref="N44:V44" si="32">SUM(M42,M45)</f>
        <v>10</v>
      </c>
      <c r="O44">
        <f t="shared" si="32"/>
        <v>28</v>
      </c>
      <c r="P44">
        <f t="shared" si="32"/>
        <v>50</v>
      </c>
      <c r="Q44">
        <f t="shared" si="32"/>
        <v>132</v>
      </c>
      <c r="R44">
        <f t="shared" si="32"/>
        <v>248</v>
      </c>
      <c r="S44">
        <f t="shared" si="32"/>
        <v>630</v>
      </c>
      <c r="T44">
        <f t="shared" si="32"/>
        <v>1226</v>
      </c>
      <c r="U44">
        <f t="shared" si="32"/>
        <v>3036</v>
      </c>
      <c r="V44">
        <f t="shared" si="32"/>
        <v>6052</v>
      </c>
    </row>
    <row r="45" spans="1:22" x14ac:dyDescent="0.25">
      <c r="B45">
        <v>5</v>
      </c>
      <c r="C45">
        <v>5</v>
      </c>
      <c r="D45">
        <v>11</v>
      </c>
      <c r="E45">
        <v>1</v>
      </c>
      <c r="F45" t="s">
        <v>18</v>
      </c>
      <c r="G45" t="s">
        <v>12</v>
      </c>
      <c r="H45">
        <v>2.5</v>
      </c>
      <c r="I45">
        <v>6</v>
      </c>
      <c r="J45" t="s">
        <v>286</v>
      </c>
      <c r="K45" t="s">
        <v>287</v>
      </c>
      <c r="L45">
        <f>COUNTIF(C40:D51,B45)</f>
        <v>3</v>
      </c>
      <c r="M45">
        <f>SUM(L44,L51,L46)</f>
        <v>6</v>
      </c>
      <c r="N45">
        <f t="shared" ref="N45:V45" si="33">SUM(M44,M51,M46)</f>
        <v>16</v>
      </c>
      <c r="O45">
        <f t="shared" si="33"/>
        <v>32</v>
      </c>
      <c r="P45">
        <f t="shared" si="33"/>
        <v>80</v>
      </c>
      <c r="Q45">
        <f t="shared" si="33"/>
        <v>162</v>
      </c>
      <c r="R45">
        <f t="shared" si="33"/>
        <v>394</v>
      </c>
      <c r="S45">
        <f t="shared" si="33"/>
        <v>806</v>
      </c>
      <c r="T45">
        <f t="shared" si="33"/>
        <v>1934</v>
      </c>
      <c r="U45">
        <f t="shared" si="33"/>
        <v>3986</v>
      </c>
      <c r="V45">
        <f t="shared" si="33"/>
        <v>9494</v>
      </c>
    </row>
    <row r="46" spans="1:22" x14ac:dyDescent="0.25">
      <c r="B46">
        <v>6</v>
      </c>
      <c r="C46">
        <v>5</v>
      </c>
      <c r="D46">
        <v>6</v>
      </c>
      <c r="E46">
        <v>3</v>
      </c>
      <c r="F46" t="s">
        <v>18</v>
      </c>
      <c r="G46" t="s">
        <v>12</v>
      </c>
      <c r="H46">
        <v>2.5</v>
      </c>
      <c r="I46">
        <v>6</v>
      </c>
      <c r="J46" t="s">
        <v>288</v>
      </c>
      <c r="K46" t="s">
        <v>289</v>
      </c>
      <c r="L46">
        <f>COUNTIF(C40:D51,B46)</f>
        <v>2</v>
      </c>
      <c r="M46">
        <f>SUM(L45,L47)</f>
        <v>5</v>
      </c>
      <c r="N46">
        <f t="shared" ref="N46:V47" si="34">SUM(M45,M47)</f>
        <v>11</v>
      </c>
      <c r="O46">
        <f t="shared" si="34"/>
        <v>26</v>
      </c>
      <c r="P46">
        <f t="shared" si="34"/>
        <v>56</v>
      </c>
      <c r="Q46">
        <f t="shared" si="34"/>
        <v>131</v>
      </c>
      <c r="R46">
        <f t="shared" si="34"/>
        <v>279</v>
      </c>
      <c r="S46">
        <f t="shared" si="34"/>
        <v>652</v>
      </c>
      <c r="T46">
        <f t="shared" si="34"/>
        <v>1380</v>
      </c>
      <c r="U46">
        <f t="shared" si="34"/>
        <v>3229</v>
      </c>
      <c r="V46">
        <f t="shared" si="34"/>
        <v>6809</v>
      </c>
    </row>
    <row r="47" spans="1:22" x14ac:dyDescent="0.25">
      <c r="B47">
        <v>7</v>
      </c>
      <c r="C47">
        <v>6</v>
      </c>
      <c r="D47">
        <v>7</v>
      </c>
      <c r="E47">
        <v>6</v>
      </c>
      <c r="F47" t="s">
        <v>18</v>
      </c>
      <c r="G47" t="s">
        <v>12</v>
      </c>
      <c r="H47">
        <v>2.5</v>
      </c>
      <c r="I47">
        <v>6</v>
      </c>
      <c r="J47" t="s">
        <v>290</v>
      </c>
      <c r="K47" t="s">
        <v>291</v>
      </c>
      <c r="L47">
        <f>COUNTIF(C40:D51,B47)</f>
        <v>2</v>
      </c>
      <c r="M47">
        <f>SUM(L46,L48)</f>
        <v>5</v>
      </c>
      <c r="N47">
        <f t="shared" si="34"/>
        <v>10</v>
      </c>
      <c r="O47">
        <f t="shared" si="34"/>
        <v>24</v>
      </c>
      <c r="P47">
        <f t="shared" si="34"/>
        <v>51</v>
      </c>
      <c r="Q47">
        <f t="shared" si="34"/>
        <v>117</v>
      </c>
      <c r="R47">
        <f t="shared" si="34"/>
        <v>258</v>
      </c>
      <c r="S47">
        <f t="shared" si="34"/>
        <v>574</v>
      </c>
      <c r="T47">
        <f t="shared" si="34"/>
        <v>1295</v>
      </c>
      <c r="U47">
        <f t="shared" si="34"/>
        <v>2823</v>
      </c>
      <c r="V47">
        <f t="shared" si="34"/>
        <v>6462</v>
      </c>
    </row>
    <row r="48" spans="1:22" x14ac:dyDescent="0.25">
      <c r="B48">
        <v>8</v>
      </c>
      <c r="C48">
        <v>7</v>
      </c>
      <c r="D48">
        <v>8</v>
      </c>
      <c r="E48">
        <v>5</v>
      </c>
      <c r="F48" t="s">
        <v>18</v>
      </c>
      <c r="G48" t="s">
        <v>12</v>
      </c>
      <c r="H48">
        <v>2.5</v>
      </c>
      <c r="I48">
        <v>6</v>
      </c>
      <c r="J48" t="s">
        <v>292</v>
      </c>
      <c r="K48" t="s">
        <v>293</v>
      </c>
      <c r="L48">
        <f>COUNTIF(C40:D51,B48)</f>
        <v>3</v>
      </c>
      <c r="M48">
        <f>SUM(L47,L49,L50)</f>
        <v>5</v>
      </c>
      <c r="N48">
        <f t="shared" ref="N48:V48" si="35">SUM(M47,M49,M50)</f>
        <v>13</v>
      </c>
      <c r="O48">
        <f t="shared" si="35"/>
        <v>25</v>
      </c>
      <c r="P48">
        <f t="shared" si="35"/>
        <v>61</v>
      </c>
      <c r="Q48">
        <f t="shared" si="35"/>
        <v>127</v>
      </c>
      <c r="R48">
        <f t="shared" si="35"/>
        <v>295</v>
      </c>
      <c r="S48">
        <f t="shared" si="35"/>
        <v>643</v>
      </c>
      <c r="T48">
        <f t="shared" si="35"/>
        <v>1443</v>
      </c>
      <c r="U48">
        <f t="shared" si="35"/>
        <v>3233</v>
      </c>
      <c r="V48">
        <f t="shared" si="35"/>
        <v>7089</v>
      </c>
    </row>
    <row r="49" spans="1:22" x14ac:dyDescent="0.25">
      <c r="B49">
        <v>9</v>
      </c>
      <c r="C49">
        <v>8</v>
      </c>
      <c r="D49">
        <v>9</v>
      </c>
      <c r="E49">
        <v>9</v>
      </c>
      <c r="F49" t="s">
        <v>39</v>
      </c>
      <c r="G49" t="s">
        <v>23</v>
      </c>
      <c r="H49">
        <v>1</v>
      </c>
      <c r="I49">
        <v>8</v>
      </c>
      <c r="J49">
        <v>8</v>
      </c>
      <c r="K49" t="s">
        <v>294</v>
      </c>
      <c r="L49">
        <f>COUNTIF(C40:D51,B49)</f>
        <v>1</v>
      </c>
      <c r="M49">
        <f>SUM(L48)</f>
        <v>3</v>
      </c>
      <c r="N49">
        <f t="shared" ref="N49:V49" si="36">SUM(M48)</f>
        <v>5</v>
      </c>
      <c r="O49">
        <f t="shared" si="36"/>
        <v>13</v>
      </c>
      <c r="P49">
        <f t="shared" si="36"/>
        <v>25</v>
      </c>
      <c r="Q49">
        <f t="shared" si="36"/>
        <v>61</v>
      </c>
      <c r="R49">
        <f t="shared" si="36"/>
        <v>127</v>
      </c>
      <c r="S49">
        <f t="shared" si="36"/>
        <v>295</v>
      </c>
      <c r="T49">
        <f t="shared" si="36"/>
        <v>643</v>
      </c>
      <c r="U49">
        <f t="shared" si="36"/>
        <v>1443</v>
      </c>
      <c r="V49">
        <f t="shared" si="36"/>
        <v>3233</v>
      </c>
    </row>
    <row r="50" spans="1:22" x14ac:dyDescent="0.25">
      <c r="B50">
        <v>10</v>
      </c>
      <c r="C50">
        <v>8</v>
      </c>
      <c r="D50">
        <v>10</v>
      </c>
      <c r="E50">
        <v>7</v>
      </c>
      <c r="F50" t="s">
        <v>18</v>
      </c>
      <c r="G50" t="s">
        <v>12</v>
      </c>
      <c r="H50">
        <v>2.5</v>
      </c>
      <c r="I50">
        <v>6</v>
      </c>
      <c r="J50" t="s">
        <v>295</v>
      </c>
      <c r="K50" t="s">
        <v>296</v>
      </c>
      <c r="L50">
        <f>COUNTIF(C40:D51,B50)</f>
        <v>2</v>
      </c>
      <c r="M50">
        <f>SUM(L48,L51)</f>
        <v>5</v>
      </c>
      <c r="N50">
        <f t="shared" ref="N50:V50" si="37">SUM(M48,M51)</f>
        <v>10</v>
      </c>
      <c r="O50">
        <f t="shared" si="37"/>
        <v>24</v>
      </c>
      <c r="P50">
        <f t="shared" si="37"/>
        <v>51</v>
      </c>
      <c r="Q50">
        <f t="shared" si="37"/>
        <v>117</v>
      </c>
      <c r="R50">
        <f t="shared" si="37"/>
        <v>258</v>
      </c>
      <c r="S50">
        <f t="shared" si="37"/>
        <v>574</v>
      </c>
      <c r="T50">
        <f t="shared" si="37"/>
        <v>1295</v>
      </c>
      <c r="U50">
        <f t="shared" si="37"/>
        <v>2823</v>
      </c>
      <c r="V50">
        <f t="shared" si="37"/>
        <v>6462</v>
      </c>
    </row>
    <row r="51" spans="1:22" x14ac:dyDescent="0.25">
      <c r="B51">
        <v>11</v>
      </c>
      <c r="C51">
        <v>10</v>
      </c>
      <c r="D51">
        <v>11</v>
      </c>
      <c r="E51">
        <v>4</v>
      </c>
      <c r="F51" t="s">
        <v>18</v>
      </c>
      <c r="G51" t="s">
        <v>12</v>
      </c>
      <c r="H51">
        <v>2.5</v>
      </c>
      <c r="I51">
        <v>6</v>
      </c>
      <c r="J51" t="s">
        <v>297</v>
      </c>
      <c r="K51" t="s">
        <v>298</v>
      </c>
      <c r="L51">
        <f>COUNTIF(C40:D51,B51)</f>
        <v>2</v>
      </c>
      <c r="M51">
        <f>SUM(L45,L50)</f>
        <v>5</v>
      </c>
      <c r="N51">
        <f t="shared" ref="N51:V51" si="38">SUM(M45,M50)</f>
        <v>11</v>
      </c>
      <c r="O51">
        <f t="shared" si="38"/>
        <v>26</v>
      </c>
      <c r="P51">
        <f t="shared" si="38"/>
        <v>56</v>
      </c>
      <c r="Q51">
        <f t="shared" si="38"/>
        <v>131</v>
      </c>
      <c r="R51">
        <f t="shared" si="38"/>
        <v>279</v>
      </c>
      <c r="S51">
        <f t="shared" si="38"/>
        <v>652</v>
      </c>
      <c r="T51">
        <f t="shared" si="38"/>
        <v>1380</v>
      </c>
      <c r="U51">
        <f t="shared" si="38"/>
        <v>3229</v>
      </c>
      <c r="V51">
        <f t="shared" si="38"/>
        <v>6809</v>
      </c>
    </row>
    <row r="53" spans="1:22" x14ac:dyDescent="0.25">
      <c r="M53">
        <f>SUM(IF(FREQUENCY(M41:M51,M41:M51)&gt;0,1))</f>
        <v>4</v>
      </c>
      <c r="N53">
        <f t="shared" ref="N53:V53" si="39">SUM(IF(FREQUENCY(N41:N51,N41:N51)&gt;0,1))</f>
        <v>7</v>
      </c>
      <c r="O53">
        <f t="shared" si="39"/>
        <v>8</v>
      </c>
      <c r="P53">
        <f t="shared" si="39"/>
        <v>8</v>
      </c>
      <c r="Q53">
        <f t="shared" si="39"/>
        <v>8</v>
      </c>
      <c r="R53">
        <f t="shared" si="39"/>
        <v>8</v>
      </c>
      <c r="S53">
        <f t="shared" si="39"/>
        <v>8</v>
      </c>
      <c r="T53">
        <f t="shared" si="39"/>
        <v>8</v>
      </c>
      <c r="U53">
        <f t="shared" si="39"/>
        <v>8</v>
      </c>
      <c r="V53">
        <f t="shared" si="39"/>
        <v>8</v>
      </c>
    </row>
    <row r="54" spans="1:22" x14ac:dyDescent="0.25">
      <c r="A54" t="s">
        <v>281</v>
      </c>
      <c r="E54" t="s">
        <v>142</v>
      </c>
      <c r="F54" t="s">
        <v>143</v>
      </c>
      <c r="G54" t="s">
        <v>1</v>
      </c>
      <c r="H54" t="s">
        <v>144</v>
      </c>
      <c r="I54" t="s">
        <v>145</v>
      </c>
      <c r="J54" t="s">
        <v>146</v>
      </c>
      <c r="K54" t="s">
        <v>147</v>
      </c>
      <c r="L54" t="s">
        <v>148</v>
      </c>
      <c r="M54" t="s">
        <v>149</v>
      </c>
      <c r="N54" t="s">
        <v>149</v>
      </c>
      <c r="O54" t="s">
        <v>149</v>
      </c>
      <c r="P54" t="s">
        <v>149</v>
      </c>
      <c r="Q54" t="s">
        <v>149</v>
      </c>
      <c r="R54" t="s">
        <v>149</v>
      </c>
      <c r="S54" t="s">
        <v>149</v>
      </c>
      <c r="T54" t="s">
        <v>149</v>
      </c>
      <c r="U54" t="s">
        <v>149</v>
      </c>
      <c r="V54" t="s">
        <v>149</v>
      </c>
    </row>
    <row r="55" spans="1:22" x14ac:dyDescent="0.25">
      <c r="B55">
        <v>1</v>
      </c>
      <c r="C55">
        <v>1</v>
      </c>
      <c r="D55">
        <v>2</v>
      </c>
      <c r="E55">
        <v>11</v>
      </c>
      <c r="F55" t="s">
        <v>16</v>
      </c>
      <c r="G55" t="s">
        <v>12</v>
      </c>
      <c r="H55">
        <v>1</v>
      </c>
      <c r="I55">
        <v>6</v>
      </c>
      <c r="J55">
        <v>2</v>
      </c>
      <c r="K55" t="s">
        <v>163</v>
      </c>
      <c r="L55">
        <f>COUNTIF(C54:D65,B55)</f>
        <v>1</v>
      </c>
      <c r="M55">
        <f>SUM(L56)</f>
        <v>3</v>
      </c>
      <c r="N55">
        <f t="shared" ref="N55:V55" si="40">SUM(M56)</f>
        <v>4</v>
      </c>
      <c r="O55">
        <f t="shared" si="40"/>
        <v>12</v>
      </c>
      <c r="P55">
        <f t="shared" si="40"/>
        <v>18</v>
      </c>
      <c r="Q55">
        <f t="shared" si="40"/>
        <v>52</v>
      </c>
      <c r="R55">
        <f t="shared" si="40"/>
        <v>86</v>
      </c>
      <c r="S55">
        <f t="shared" si="40"/>
        <v>236</v>
      </c>
      <c r="T55">
        <f t="shared" si="40"/>
        <v>420</v>
      </c>
      <c r="U55">
        <f t="shared" si="40"/>
        <v>1102</v>
      </c>
      <c r="V55">
        <f t="shared" si="40"/>
        <v>2066</v>
      </c>
    </row>
    <row r="56" spans="1:22" x14ac:dyDescent="0.25">
      <c r="B56">
        <v>2</v>
      </c>
      <c r="C56">
        <v>2</v>
      </c>
      <c r="D56">
        <v>3</v>
      </c>
      <c r="E56">
        <v>8</v>
      </c>
      <c r="F56" t="s">
        <v>14</v>
      </c>
      <c r="G56" t="s">
        <v>12</v>
      </c>
      <c r="H56">
        <v>2</v>
      </c>
      <c r="I56">
        <v>6</v>
      </c>
      <c r="J56" t="s">
        <v>282</v>
      </c>
      <c r="K56" t="s">
        <v>283</v>
      </c>
      <c r="L56">
        <f>COUNTIF(C54:D65,B56)</f>
        <v>3</v>
      </c>
      <c r="M56">
        <f>SUM(L55,L57,L58)</f>
        <v>4</v>
      </c>
      <c r="N56">
        <f t="shared" ref="N56:V56" si="41">SUM(M55,M57,M58)</f>
        <v>12</v>
      </c>
      <c r="O56">
        <f t="shared" si="41"/>
        <v>18</v>
      </c>
      <c r="P56">
        <f t="shared" si="41"/>
        <v>52</v>
      </c>
      <c r="Q56">
        <f t="shared" si="41"/>
        <v>86</v>
      </c>
      <c r="R56">
        <f t="shared" si="41"/>
        <v>236</v>
      </c>
      <c r="S56">
        <f t="shared" si="41"/>
        <v>420</v>
      </c>
      <c r="T56">
        <f t="shared" si="41"/>
        <v>1102</v>
      </c>
      <c r="U56">
        <f t="shared" si="41"/>
        <v>2066</v>
      </c>
      <c r="V56">
        <f t="shared" si="41"/>
        <v>5240</v>
      </c>
    </row>
    <row r="57" spans="1:22" x14ac:dyDescent="0.25">
      <c r="B57">
        <v>3</v>
      </c>
      <c r="C57">
        <v>2</v>
      </c>
      <c r="D57">
        <v>4</v>
      </c>
      <c r="E57">
        <v>10</v>
      </c>
      <c r="F57" t="s">
        <v>38</v>
      </c>
      <c r="G57" t="s">
        <v>23</v>
      </c>
      <c r="H57">
        <v>2</v>
      </c>
      <c r="I57">
        <v>8</v>
      </c>
      <c r="J57">
        <v>2</v>
      </c>
      <c r="K57" t="s">
        <v>163</v>
      </c>
      <c r="L57">
        <f>COUNTIF(C54:D65,B57)</f>
        <v>1</v>
      </c>
      <c r="M57">
        <f>SUM(L56)</f>
        <v>3</v>
      </c>
      <c r="N57">
        <f t="shared" ref="N57:V57" si="42">SUM(M56)</f>
        <v>4</v>
      </c>
      <c r="O57">
        <f t="shared" si="42"/>
        <v>12</v>
      </c>
      <c r="P57">
        <f t="shared" si="42"/>
        <v>18</v>
      </c>
      <c r="Q57">
        <f t="shared" si="42"/>
        <v>52</v>
      </c>
      <c r="R57">
        <f t="shared" si="42"/>
        <v>86</v>
      </c>
      <c r="S57">
        <f t="shared" si="42"/>
        <v>236</v>
      </c>
      <c r="T57">
        <f t="shared" si="42"/>
        <v>420</v>
      </c>
      <c r="U57">
        <f t="shared" si="42"/>
        <v>1102</v>
      </c>
      <c r="V57">
        <f t="shared" si="42"/>
        <v>2066</v>
      </c>
    </row>
    <row r="58" spans="1:22" x14ac:dyDescent="0.25">
      <c r="B58">
        <v>4</v>
      </c>
      <c r="C58">
        <v>4</v>
      </c>
      <c r="D58">
        <v>5</v>
      </c>
      <c r="E58">
        <v>2</v>
      </c>
      <c r="F58" t="s">
        <v>32</v>
      </c>
      <c r="G58" t="s">
        <v>21</v>
      </c>
      <c r="H58">
        <v>2.75</v>
      </c>
      <c r="I58">
        <v>7</v>
      </c>
      <c r="J58" t="s">
        <v>284</v>
      </c>
      <c r="K58" t="s">
        <v>285</v>
      </c>
      <c r="L58">
        <f>COUNTIF(C54:D65,B58)</f>
        <v>2</v>
      </c>
      <c r="M58">
        <f>SUM(L56,L59)</f>
        <v>6</v>
      </c>
      <c r="N58">
        <f t="shared" ref="N58:V58" si="43">SUM(M56,M59)</f>
        <v>10</v>
      </c>
      <c r="O58">
        <f t="shared" si="43"/>
        <v>28</v>
      </c>
      <c r="P58">
        <f t="shared" si="43"/>
        <v>50</v>
      </c>
      <c r="Q58">
        <f t="shared" si="43"/>
        <v>132</v>
      </c>
      <c r="R58">
        <f t="shared" si="43"/>
        <v>248</v>
      </c>
      <c r="S58">
        <f t="shared" si="43"/>
        <v>630</v>
      </c>
      <c r="T58">
        <f t="shared" si="43"/>
        <v>1226</v>
      </c>
      <c r="U58">
        <f t="shared" si="43"/>
        <v>3036</v>
      </c>
      <c r="V58">
        <f t="shared" si="43"/>
        <v>6052</v>
      </c>
    </row>
    <row r="59" spans="1:22" x14ac:dyDescent="0.25">
      <c r="B59">
        <v>5</v>
      </c>
      <c r="C59">
        <v>5</v>
      </c>
      <c r="D59">
        <v>11</v>
      </c>
      <c r="E59">
        <v>1</v>
      </c>
      <c r="F59" t="s">
        <v>18</v>
      </c>
      <c r="G59" t="s">
        <v>12</v>
      </c>
      <c r="H59">
        <v>2.5</v>
      </c>
      <c r="I59">
        <v>6</v>
      </c>
      <c r="J59" t="s">
        <v>286</v>
      </c>
      <c r="K59" t="s">
        <v>287</v>
      </c>
      <c r="L59">
        <f>COUNTIF(C54:D65,B59)</f>
        <v>3</v>
      </c>
      <c r="M59">
        <f>SUM(L58,L65,L60)</f>
        <v>6</v>
      </c>
      <c r="N59">
        <f t="shared" ref="N59:V59" si="44">SUM(M58,M65,M60)</f>
        <v>16</v>
      </c>
      <c r="O59">
        <f t="shared" si="44"/>
        <v>32</v>
      </c>
      <c r="P59">
        <f t="shared" si="44"/>
        <v>80</v>
      </c>
      <c r="Q59">
        <f t="shared" si="44"/>
        <v>162</v>
      </c>
      <c r="R59">
        <f t="shared" si="44"/>
        <v>394</v>
      </c>
      <c r="S59">
        <f t="shared" si="44"/>
        <v>806</v>
      </c>
      <c r="T59">
        <f t="shared" si="44"/>
        <v>1934</v>
      </c>
      <c r="U59">
        <f t="shared" si="44"/>
        <v>3986</v>
      </c>
      <c r="V59">
        <f t="shared" si="44"/>
        <v>9494</v>
      </c>
    </row>
    <row r="60" spans="1:22" x14ac:dyDescent="0.25">
      <c r="B60">
        <v>6</v>
      </c>
      <c r="C60">
        <v>5</v>
      </c>
      <c r="D60">
        <v>6</v>
      </c>
      <c r="E60">
        <v>3</v>
      </c>
      <c r="F60" t="s">
        <v>18</v>
      </c>
      <c r="G60" t="s">
        <v>12</v>
      </c>
      <c r="H60">
        <v>2.5</v>
      </c>
      <c r="I60">
        <v>6</v>
      </c>
      <c r="J60" t="s">
        <v>288</v>
      </c>
      <c r="K60" t="s">
        <v>289</v>
      </c>
      <c r="L60">
        <f>COUNTIF(C54:D65,B60)</f>
        <v>2</v>
      </c>
      <c r="M60">
        <f>SUM(L59,L61)</f>
        <v>5</v>
      </c>
      <c r="N60">
        <f t="shared" ref="N60:V61" si="45">SUM(M59,M61)</f>
        <v>11</v>
      </c>
      <c r="O60">
        <f t="shared" si="45"/>
        <v>26</v>
      </c>
      <c r="P60">
        <f t="shared" si="45"/>
        <v>56</v>
      </c>
      <c r="Q60">
        <f t="shared" si="45"/>
        <v>131</v>
      </c>
      <c r="R60">
        <f t="shared" si="45"/>
        <v>279</v>
      </c>
      <c r="S60">
        <f t="shared" si="45"/>
        <v>652</v>
      </c>
      <c r="T60">
        <f t="shared" si="45"/>
        <v>1380</v>
      </c>
      <c r="U60">
        <f t="shared" si="45"/>
        <v>3229</v>
      </c>
      <c r="V60">
        <f t="shared" si="45"/>
        <v>6809</v>
      </c>
    </row>
    <row r="61" spans="1:22" x14ac:dyDescent="0.25">
      <c r="B61">
        <v>7</v>
      </c>
      <c r="C61">
        <v>6</v>
      </c>
      <c r="D61">
        <v>7</v>
      </c>
      <c r="E61">
        <v>6</v>
      </c>
      <c r="F61" t="s">
        <v>18</v>
      </c>
      <c r="G61" t="s">
        <v>12</v>
      </c>
      <c r="H61">
        <v>2.5</v>
      </c>
      <c r="I61">
        <v>6</v>
      </c>
      <c r="J61" t="s">
        <v>290</v>
      </c>
      <c r="K61" t="s">
        <v>291</v>
      </c>
      <c r="L61">
        <f>COUNTIF(C54:D65,B61)</f>
        <v>2</v>
      </c>
      <c r="M61">
        <f>SUM(L60,L62)</f>
        <v>5</v>
      </c>
      <c r="N61">
        <f t="shared" si="45"/>
        <v>10</v>
      </c>
      <c r="O61">
        <f t="shared" si="45"/>
        <v>24</v>
      </c>
      <c r="P61">
        <f t="shared" si="45"/>
        <v>51</v>
      </c>
      <c r="Q61">
        <f t="shared" si="45"/>
        <v>117</v>
      </c>
      <c r="R61">
        <f t="shared" si="45"/>
        <v>258</v>
      </c>
      <c r="S61">
        <f t="shared" si="45"/>
        <v>574</v>
      </c>
      <c r="T61">
        <f t="shared" si="45"/>
        <v>1295</v>
      </c>
      <c r="U61">
        <f t="shared" si="45"/>
        <v>2823</v>
      </c>
      <c r="V61">
        <f t="shared" si="45"/>
        <v>6462</v>
      </c>
    </row>
    <row r="62" spans="1:22" x14ac:dyDescent="0.25">
      <c r="B62">
        <v>8</v>
      </c>
      <c r="C62">
        <v>7</v>
      </c>
      <c r="D62">
        <v>8</v>
      </c>
      <c r="E62">
        <v>5</v>
      </c>
      <c r="F62" t="s">
        <v>18</v>
      </c>
      <c r="G62" t="s">
        <v>12</v>
      </c>
      <c r="H62">
        <v>2.5</v>
      </c>
      <c r="I62">
        <v>6</v>
      </c>
      <c r="J62" t="s">
        <v>292</v>
      </c>
      <c r="K62" t="s">
        <v>293</v>
      </c>
      <c r="L62">
        <f>COUNTIF(C54:D65,B62)</f>
        <v>3</v>
      </c>
      <c r="M62">
        <f>SUM(L61,L63,L64)</f>
        <v>5</v>
      </c>
      <c r="N62">
        <f t="shared" ref="N62:V62" si="46">SUM(M61,M63,M64)</f>
        <v>13</v>
      </c>
      <c r="O62">
        <f t="shared" si="46"/>
        <v>25</v>
      </c>
      <c r="P62">
        <f t="shared" si="46"/>
        <v>61</v>
      </c>
      <c r="Q62">
        <f t="shared" si="46"/>
        <v>127</v>
      </c>
      <c r="R62">
        <f t="shared" si="46"/>
        <v>295</v>
      </c>
      <c r="S62">
        <f t="shared" si="46"/>
        <v>643</v>
      </c>
      <c r="T62">
        <f t="shared" si="46"/>
        <v>1443</v>
      </c>
      <c r="U62">
        <f t="shared" si="46"/>
        <v>3233</v>
      </c>
      <c r="V62">
        <f t="shared" si="46"/>
        <v>7089</v>
      </c>
    </row>
    <row r="63" spans="1:22" x14ac:dyDescent="0.25">
      <c r="B63">
        <v>9</v>
      </c>
      <c r="C63">
        <v>8</v>
      </c>
      <c r="D63">
        <v>9</v>
      </c>
      <c r="E63">
        <v>9</v>
      </c>
      <c r="F63" t="s">
        <v>39</v>
      </c>
      <c r="G63" t="s">
        <v>23</v>
      </c>
      <c r="H63">
        <v>1</v>
      </c>
      <c r="I63">
        <v>8</v>
      </c>
      <c r="J63">
        <v>8</v>
      </c>
      <c r="K63" t="s">
        <v>294</v>
      </c>
      <c r="L63">
        <f>COUNTIF(C54:D65,B63)</f>
        <v>1</v>
      </c>
      <c r="M63">
        <f>SUM(L62)</f>
        <v>3</v>
      </c>
      <c r="N63">
        <f t="shared" ref="N63:V63" si="47">SUM(M62)</f>
        <v>5</v>
      </c>
      <c r="O63">
        <f t="shared" si="47"/>
        <v>13</v>
      </c>
      <c r="P63">
        <f t="shared" si="47"/>
        <v>25</v>
      </c>
      <c r="Q63">
        <f t="shared" si="47"/>
        <v>61</v>
      </c>
      <c r="R63">
        <f t="shared" si="47"/>
        <v>127</v>
      </c>
      <c r="S63">
        <f t="shared" si="47"/>
        <v>295</v>
      </c>
      <c r="T63">
        <f t="shared" si="47"/>
        <v>643</v>
      </c>
      <c r="U63">
        <f t="shared" si="47"/>
        <v>1443</v>
      </c>
      <c r="V63">
        <f t="shared" si="47"/>
        <v>3233</v>
      </c>
    </row>
    <row r="64" spans="1:22" x14ac:dyDescent="0.25">
      <c r="B64">
        <v>10</v>
      </c>
      <c r="C64">
        <v>8</v>
      </c>
      <c r="D64">
        <v>10</v>
      </c>
      <c r="E64">
        <v>7</v>
      </c>
      <c r="F64" t="s">
        <v>18</v>
      </c>
      <c r="G64" t="s">
        <v>12</v>
      </c>
      <c r="H64">
        <v>2.5</v>
      </c>
      <c r="I64">
        <v>6</v>
      </c>
      <c r="J64" t="s">
        <v>295</v>
      </c>
      <c r="K64" t="s">
        <v>296</v>
      </c>
      <c r="L64">
        <f>COUNTIF(C54:D65,B64)</f>
        <v>2</v>
      </c>
      <c r="M64">
        <f>SUM(L62,L65)</f>
        <v>5</v>
      </c>
      <c r="N64">
        <f t="shared" ref="N64:V64" si="48">SUM(M62,M65)</f>
        <v>10</v>
      </c>
      <c r="O64">
        <f t="shared" si="48"/>
        <v>24</v>
      </c>
      <c r="P64">
        <f t="shared" si="48"/>
        <v>51</v>
      </c>
      <c r="Q64">
        <f t="shared" si="48"/>
        <v>117</v>
      </c>
      <c r="R64">
        <f t="shared" si="48"/>
        <v>258</v>
      </c>
      <c r="S64">
        <f t="shared" si="48"/>
        <v>574</v>
      </c>
      <c r="T64">
        <f t="shared" si="48"/>
        <v>1295</v>
      </c>
      <c r="U64">
        <f t="shared" si="48"/>
        <v>2823</v>
      </c>
      <c r="V64">
        <f t="shared" si="48"/>
        <v>6462</v>
      </c>
    </row>
    <row r="65" spans="1:27" x14ac:dyDescent="0.25">
      <c r="B65">
        <v>11</v>
      </c>
      <c r="C65">
        <v>10</v>
      </c>
      <c r="D65">
        <v>11</v>
      </c>
      <c r="E65">
        <v>4</v>
      </c>
      <c r="F65" t="s">
        <v>18</v>
      </c>
      <c r="G65" t="s">
        <v>12</v>
      </c>
      <c r="H65">
        <v>2.5</v>
      </c>
      <c r="I65">
        <v>6</v>
      </c>
      <c r="J65" t="s">
        <v>297</v>
      </c>
      <c r="K65" t="s">
        <v>298</v>
      </c>
      <c r="L65">
        <f>COUNTIF(C54:D65,B65)</f>
        <v>2</v>
      </c>
      <c r="M65">
        <f>SUM(L59,L64)</f>
        <v>5</v>
      </c>
      <c r="N65">
        <f t="shared" ref="N65:V65" si="49">SUM(M59,M64)</f>
        <v>11</v>
      </c>
      <c r="O65">
        <f t="shared" si="49"/>
        <v>26</v>
      </c>
      <c r="P65">
        <f t="shared" si="49"/>
        <v>56</v>
      </c>
      <c r="Q65">
        <f t="shared" si="49"/>
        <v>131</v>
      </c>
      <c r="R65">
        <f t="shared" si="49"/>
        <v>279</v>
      </c>
      <c r="S65">
        <f t="shared" si="49"/>
        <v>652</v>
      </c>
      <c r="T65">
        <f t="shared" si="49"/>
        <v>1380</v>
      </c>
      <c r="U65">
        <f t="shared" si="49"/>
        <v>3229</v>
      </c>
      <c r="V65">
        <f t="shared" si="49"/>
        <v>6809</v>
      </c>
    </row>
    <row r="67" spans="1:27" x14ac:dyDescent="0.25">
      <c r="M67">
        <f>SUM(IF(FREQUENCY(M55:M65,M55:M65)&gt;0,1))</f>
        <v>4</v>
      </c>
      <c r="N67">
        <f t="shared" ref="N67:V67" si="50">SUM(IF(FREQUENCY(N55:N65,N55:N65)&gt;0,1))</f>
        <v>7</v>
      </c>
      <c r="O67">
        <f t="shared" si="50"/>
        <v>8</v>
      </c>
      <c r="P67">
        <f t="shared" si="50"/>
        <v>8</v>
      </c>
      <c r="Q67">
        <f t="shared" si="50"/>
        <v>8</v>
      </c>
      <c r="R67">
        <f t="shared" si="50"/>
        <v>8</v>
      </c>
      <c r="S67">
        <f t="shared" si="50"/>
        <v>8</v>
      </c>
      <c r="T67">
        <f t="shared" si="50"/>
        <v>8</v>
      </c>
      <c r="U67">
        <f t="shared" si="50"/>
        <v>8</v>
      </c>
      <c r="V67">
        <f t="shared" si="50"/>
        <v>8</v>
      </c>
    </row>
    <row r="68" spans="1:27" x14ac:dyDescent="0.25">
      <c r="A68">
        <v>2</v>
      </c>
      <c r="E68" t="s">
        <v>142</v>
      </c>
      <c r="F68" t="s">
        <v>143</v>
      </c>
      <c r="G68" t="s">
        <v>1</v>
      </c>
      <c r="H68" t="s">
        <v>144</v>
      </c>
      <c r="I68" t="s">
        <v>145</v>
      </c>
      <c r="J68" t="s">
        <v>146</v>
      </c>
      <c r="K68" t="s">
        <v>147</v>
      </c>
      <c r="L68" t="s">
        <v>148</v>
      </c>
      <c r="M68" t="s">
        <v>149</v>
      </c>
      <c r="N68" t="s">
        <v>149</v>
      </c>
      <c r="O68" t="s">
        <v>149</v>
      </c>
      <c r="P68" t="s">
        <v>149</v>
      </c>
      <c r="Q68" t="s">
        <v>149</v>
      </c>
      <c r="R68" t="s">
        <v>149</v>
      </c>
      <c r="S68" t="s">
        <v>149</v>
      </c>
      <c r="T68" t="s">
        <v>149</v>
      </c>
      <c r="U68" t="s">
        <v>149</v>
      </c>
      <c r="V68" t="s">
        <v>149</v>
      </c>
    </row>
    <row r="69" spans="1:27" x14ac:dyDescent="0.25">
      <c r="B69">
        <v>1</v>
      </c>
      <c r="C69">
        <v>1</v>
      </c>
      <c r="D69">
        <v>5</v>
      </c>
      <c r="E69">
        <v>3</v>
      </c>
      <c r="F69" t="s">
        <v>19</v>
      </c>
      <c r="G69" t="s">
        <v>20</v>
      </c>
      <c r="H69">
        <v>1</v>
      </c>
      <c r="I69">
        <v>17</v>
      </c>
      <c r="J69">
        <v>5</v>
      </c>
      <c r="K69" t="s">
        <v>166</v>
      </c>
      <c r="L69">
        <f>COUNTIF(C68:D73,B69)</f>
        <v>1</v>
      </c>
      <c r="M69">
        <f>SUM(L73)</f>
        <v>3</v>
      </c>
      <c r="N69">
        <f t="shared" ref="N69:V69" si="51">SUM(M73)</f>
        <v>5</v>
      </c>
      <c r="O69">
        <f t="shared" si="51"/>
        <v>11</v>
      </c>
      <c r="P69">
        <f t="shared" si="51"/>
        <v>21</v>
      </c>
      <c r="Q69">
        <f t="shared" si="51"/>
        <v>43</v>
      </c>
      <c r="R69">
        <f t="shared" si="51"/>
        <v>85</v>
      </c>
      <c r="S69">
        <f t="shared" si="51"/>
        <v>171</v>
      </c>
      <c r="T69">
        <f t="shared" si="51"/>
        <v>341</v>
      </c>
      <c r="U69">
        <f t="shared" si="51"/>
        <v>683</v>
      </c>
      <c r="V69">
        <f t="shared" si="51"/>
        <v>1365</v>
      </c>
    </row>
    <row r="70" spans="1:27" x14ac:dyDescent="0.25">
      <c r="B70">
        <v>2</v>
      </c>
      <c r="C70">
        <v>2</v>
      </c>
      <c r="D70">
        <v>5</v>
      </c>
      <c r="E70">
        <v>4</v>
      </c>
      <c r="F70" t="s">
        <v>19</v>
      </c>
      <c r="G70" t="s">
        <v>20</v>
      </c>
      <c r="H70">
        <v>1</v>
      </c>
      <c r="I70">
        <v>17</v>
      </c>
      <c r="J70">
        <v>5</v>
      </c>
      <c r="K70" t="s">
        <v>166</v>
      </c>
      <c r="L70">
        <f>COUNTIF(C68:D73,B70)</f>
        <v>1</v>
      </c>
      <c r="M70">
        <f>SUM(L73)</f>
        <v>3</v>
      </c>
      <c r="N70">
        <f t="shared" ref="N70:V70" si="52">SUM(M73)</f>
        <v>5</v>
      </c>
      <c r="O70">
        <f t="shared" si="52"/>
        <v>11</v>
      </c>
      <c r="P70">
        <f t="shared" si="52"/>
        <v>21</v>
      </c>
      <c r="Q70">
        <f t="shared" si="52"/>
        <v>43</v>
      </c>
      <c r="R70">
        <f t="shared" si="52"/>
        <v>85</v>
      </c>
      <c r="S70">
        <f t="shared" si="52"/>
        <v>171</v>
      </c>
      <c r="T70">
        <f t="shared" si="52"/>
        <v>341</v>
      </c>
      <c r="U70">
        <f t="shared" si="52"/>
        <v>683</v>
      </c>
      <c r="V70">
        <f t="shared" si="52"/>
        <v>1365</v>
      </c>
    </row>
    <row r="71" spans="1:27" x14ac:dyDescent="0.25">
      <c r="B71">
        <v>3</v>
      </c>
      <c r="C71">
        <v>3</v>
      </c>
      <c r="D71">
        <v>4</v>
      </c>
      <c r="E71">
        <v>5</v>
      </c>
      <c r="F71" t="s">
        <v>38</v>
      </c>
      <c r="G71" t="s">
        <v>23</v>
      </c>
      <c r="H71">
        <v>2</v>
      </c>
      <c r="I71">
        <v>8</v>
      </c>
      <c r="J71">
        <v>4</v>
      </c>
      <c r="K71" t="s">
        <v>165</v>
      </c>
      <c r="L71">
        <f>COUNTIF(C68:D73,B71)</f>
        <v>1</v>
      </c>
      <c r="M71">
        <f>SUM(L72)</f>
        <v>3</v>
      </c>
      <c r="N71">
        <f t="shared" ref="N71:V71" si="53">SUM(M72)</f>
        <v>5</v>
      </c>
      <c r="O71">
        <f t="shared" si="53"/>
        <v>11</v>
      </c>
      <c r="P71">
        <f t="shared" si="53"/>
        <v>21</v>
      </c>
      <c r="Q71">
        <f t="shared" si="53"/>
        <v>43</v>
      </c>
      <c r="R71">
        <f t="shared" si="53"/>
        <v>85</v>
      </c>
      <c r="S71">
        <f t="shared" si="53"/>
        <v>171</v>
      </c>
      <c r="T71">
        <f t="shared" si="53"/>
        <v>341</v>
      </c>
      <c r="U71">
        <f t="shared" si="53"/>
        <v>683</v>
      </c>
      <c r="V71">
        <f t="shared" si="53"/>
        <v>1365</v>
      </c>
    </row>
    <row r="72" spans="1:27" x14ac:dyDescent="0.25">
      <c r="B72">
        <v>4</v>
      </c>
      <c r="C72">
        <v>4</v>
      </c>
      <c r="D72">
        <v>5</v>
      </c>
      <c r="E72">
        <v>1</v>
      </c>
      <c r="F72" t="s">
        <v>14</v>
      </c>
      <c r="G72" t="s">
        <v>12</v>
      </c>
      <c r="H72">
        <v>2</v>
      </c>
      <c r="I72">
        <v>6</v>
      </c>
      <c r="J72" t="s">
        <v>277</v>
      </c>
      <c r="K72" t="s">
        <v>299</v>
      </c>
      <c r="L72">
        <f>COUNTIF(C68:D73,B72)</f>
        <v>3</v>
      </c>
      <c r="M72">
        <f>SUM(L71,L73,L74)</f>
        <v>5</v>
      </c>
      <c r="N72">
        <f t="shared" ref="N72:V72" si="54">SUM(M71,M73,M74)</f>
        <v>11</v>
      </c>
      <c r="O72">
        <f t="shared" si="54"/>
        <v>21</v>
      </c>
      <c r="P72">
        <f t="shared" si="54"/>
        <v>43</v>
      </c>
      <c r="Q72">
        <f t="shared" si="54"/>
        <v>85</v>
      </c>
      <c r="R72">
        <f t="shared" si="54"/>
        <v>171</v>
      </c>
      <c r="S72">
        <f t="shared" si="54"/>
        <v>341</v>
      </c>
      <c r="T72">
        <f t="shared" si="54"/>
        <v>683</v>
      </c>
      <c r="U72">
        <f t="shared" si="54"/>
        <v>1365</v>
      </c>
      <c r="V72">
        <f t="shared" si="54"/>
        <v>2731</v>
      </c>
    </row>
    <row r="73" spans="1:27" x14ac:dyDescent="0.25">
      <c r="B73">
        <v>5</v>
      </c>
      <c r="C73">
        <v>4</v>
      </c>
      <c r="D73">
        <v>6</v>
      </c>
      <c r="E73">
        <v>2</v>
      </c>
      <c r="F73" t="s">
        <v>16</v>
      </c>
      <c r="G73" t="s">
        <v>12</v>
      </c>
      <c r="H73">
        <v>1</v>
      </c>
      <c r="I73">
        <v>6</v>
      </c>
      <c r="J73" t="s">
        <v>279</v>
      </c>
      <c r="K73" t="s">
        <v>280</v>
      </c>
      <c r="L73">
        <f>COUNTIF(C68:D73,B73)</f>
        <v>3</v>
      </c>
      <c r="M73">
        <f>SUM(L69,L70,L72)</f>
        <v>5</v>
      </c>
      <c r="N73">
        <f t="shared" ref="N73:V73" si="55">SUM(M69,M70,M72)</f>
        <v>11</v>
      </c>
      <c r="O73">
        <f t="shared" si="55"/>
        <v>21</v>
      </c>
      <c r="P73">
        <f t="shared" si="55"/>
        <v>43</v>
      </c>
      <c r="Q73">
        <f t="shared" si="55"/>
        <v>85</v>
      </c>
      <c r="R73">
        <f t="shared" si="55"/>
        <v>171</v>
      </c>
      <c r="S73">
        <f t="shared" si="55"/>
        <v>341</v>
      </c>
      <c r="T73">
        <f t="shared" si="55"/>
        <v>683</v>
      </c>
      <c r="U73">
        <f t="shared" si="55"/>
        <v>1365</v>
      </c>
      <c r="V73">
        <f t="shared" si="55"/>
        <v>2731</v>
      </c>
    </row>
    <row r="74" spans="1:27" x14ac:dyDescent="0.25">
      <c r="B74">
        <v>6</v>
      </c>
      <c r="F74" t="s">
        <v>16</v>
      </c>
      <c r="G74" t="s">
        <v>12</v>
      </c>
      <c r="H74">
        <v>1</v>
      </c>
      <c r="I74">
        <v>6</v>
      </c>
      <c r="J74">
        <v>4</v>
      </c>
      <c r="K74" t="s">
        <v>165</v>
      </c>
      <c r="L74">
        <f>COUNTIF(C68:D73,B74)</f>
        <v>1</v>
      </c>
      <c r="M74">
        <f>SUM(L72)</f>
        <v>3</v>
      </c>
      <c r="N74">
        <f t="shared" ref="N74:V74" si="56">SUM(M72)</f>
        <v>5</v>
      </c>
      <c r="O74">
        <f t="shared" si="56"/>
        <v>11</v>
      </c>
      <c r="P74">
        <f t="shared" si="56"/>
        <v>21</v>
      </c>
      <c r="Q74">
        <f t="shared" si="56"/>
        <v>43</v>
      </c>
      <c r="R74">
        <f t="shared" si="56"/>
        <v>85</v>
      </c>
      <c r="S74">
        <f t="shared" si="56"/>
        <v>171</v>
      </c>
      <c r="T74">
        <f t="shared" si="56"/>
        <v>341</v>
      </c>
      <c r="U74">
        <f t="shared" si="56"/>
        <v>683</v>
      </c>
      <c r="V74">
        <f t="shared" si="56"/>
        <v>1365</v>
      </c>
    </row>
    <row r="76" spans="1:27" x14ac:dyDescent="0.25">
      <c r="M76">
        <f>SUM(IF(FREQUENCY(M69:M74,M69:M74)&gt;0,1))</f>
        <v>2</v>
      </c>
      <c r="N76">
        <f t="shared" ref="N76:V76" si="57">SUM(IF(FREQUENCY(N69:N74,N69:N74)&gt;0,1))</f>
        <v>2</v>
      </c>
      <c r="O76">
        <f t="shared" si="57"/>
        <v>2</v>
      </c>
      <c r="P76">
        <f t="shared" si="57"/>
        <v>2</v>
      </c>
      <c r="Q76">
        <f t="shared" si="57"/>
        <v>2</v>
      </c>
      <c r="R76">
        <f t="shared" si="57"/>
        <v>2</v>
      </c>
      <c r="S76">
        <f t="shared" si="57"/>
        <v>2</v>
      </c>
      <c r="T76">
        <f t="shared" si="57"/>
        <v>2</v>
      </c>
      <c r="U76">
        <f t="shared" si="57"/>
        <v>2</v>
      </c>
      <c r="V76">
        <f t="shared" si="57"/>
        <v>2</v>
      </c>
    </row>
    <row r="77" spans="1:27" x14ac:dyDescent="0.25">
      <c r="A77" t="s">
        <v>300</v>
      </c>
      <c r="E77" t="s">
        <v>142</v>
      </c>
      <c r="F77" t="s">
        <v>143</v>
      </c>
      <c r="G77" t="s">
        <v>1</v>
      </c>
      <c r="H77" t="s">
        <v>144</v>
      </c>
      <c r="I77" t="s">
        <v>145</v>
      </c>
      <c r="J77" t="s">
        <v>146</v>
      </c>
      <c r="K77" t="s">
        <v>147</v>
      </c>
      <c r="L77" t="s">
        <v>148</v>
      </c>
      <c r="M77" t="s">
        <v>149</v>
      </c>
      <c r="N77" t="s">
        <v>149</v>
      </c>
      <c r="O77" t="s">
        <v>149</v>
      </c>
      <c r="P77" t="s">
        <v>149</v>
      </c>
      <c r="Q77" t="s">
        <v>149</v>
      </c>
      <c r="R77" t="s">
        <v>149</v>
      </c>
      <c r="S77" t="s">
        <v>149</v>
      </c>
      <c r="T77" t="s">
        <v>149</v>
      </c>
      <c r="U77" t="s">
        <v>149</v>
      </c>
      <c r="V77" t="s">
        <v>149</v>
      </c>
      <c r="W77" t="s">
        <v>149</v>
      </c>
      <c r="X77" t="s">
        <v>149</v>
      </c>
      <c r="Y77" t="s">
        <v>149</v>
      </c>
      <c r="Z77" t="s">
        <v>149</v>
      </c>
      <c r="AA77" t="s">
        <v>149</v>
      </c>
    </row>
    <row r="78" spans="1:27" x14ac:dyDescent="0.25">
      <c r="B78">
        <v>1</v>
      </c>
      <c r="C78">
        <v>1</v>
      </c>
      <c r="D78">
        <v>12</v>
      </c>
      <c r="E78">
        <v>17</v>
      </c>
      <c r="F78" t="s">
        <v>39</v>
      </c>
      <c r="G78" t="s">
        <v>23</v>
      </c>
      <c r="H78">
        <v>1</v>
      </c>
      <c r="I78">
        <v>8</v>
      </c>
      <c r="J78">
        <v>12</v>
      </c>
      <c r="K78" t="s">
        <v>304</v>
      </c>
      <c r="L78">
        <f>COUNTIF(C77:D98,B78)</f>
        <v>1</v>
      </c>
      <c r="M78">
        <f>SUM(L89)</f>
        <v>3</v>
      </c>
      <c r="N78">
        <f t="shared" ref="N78:AA79" si="58">SUM(M89)</f>
        <v>5</v>
      </c>
      <c r="O78">
        <f t="shared" si="58"/>
        <v>13</v>
      </c>
      <c r="P78">
        <f t="shared" si="58"/>
        <v>27</v>
      </c>
      <c r="Q78">
        <f t="shared" si="58"/>
        <v>66</v>
      </c>
      <c r="R78">
        <f t="shared" si="58"/>
        <v>148</v>
      </c>
      <c r="S78">
        <f t="shared" si="58"/>
        <v>354</v>
      </c>
      <c r="T78">
        <f t="shared" si="58"/>
        <v>817</v>
      </c>
      <c r="U78">
        <f t="shared" si="58"/>
        <v>1938</v>
      </c>
      <c r="V78">
        <f t="shared" si="58"/>
        <v>4533</v>
      </c>
      <c r="W78">
        <f t="shared" si="58"/>
        <v>10718</v>
      </c>
      <c r="X78">
        <f t="shared" si="58"/>
        <v>25269</v>
      </c>
      <c r="Y78">
        <f t="shared" si="58"/>
        <v>59695</v>
      </c>
      <c r="Z78">
        <f t="shared" si="58"/>
        <v>141530</v>
      </c>
      <c r="AA78">
        <f t="shared" si="58"/>
        <v>334475</v>
      </c>
    </row>
    <row r="79" spans="1:27" x14ac:dyDescent="0.25">
      <c r="B79">
        <v>2</v>
      </c>
      <c r="C79">
        <v>2</v>
      </c>
      <c r="D79">
        <v>13</v>
      </c>
      <c r="E79">
        <v>16</v>
      </c>
      <c r="F79" t="s">
        <v>39</v>
      </c>
      <c r="G79" t="s">
        <v>23</v>
      </c>
      <c r="H79">
        <v>1</v>
      </c>
      <c r="I79">
        <v>8</v>
      </c>
      <c r="J79">
        <v>13</v>
      </c>
      <c r="K79" t="s">
        <v>305</v>
      </c>
      <c r="L79">
        <f>COUNTIF(C77:D98,B79)</f>
        <v>1</v>
      </c>
      <c r="M79">
        <f>SUM(L90)</f>
        <v>3</v>
      </c>
      <c r="N79">
        <f t="shared" si="58"/>
        <v>6</v>
      </c>
      <c r="O79">
        <f t="shared" si="58"/>
        <v>14</v>
      </c>
      <c r="P79">
        <f t="shared" si="58"/>
        <v>31</v>
      </c>
      <c r="Q79">
        <f t="shared" si="58"/>
        <v>69</v>
      </c>
      <c r="R79">
        <f t="shared" si="58"/>
        <v>157</v>
      </c>
      <c r="S79">
        <f t="shared" si="58"/>
        <v>349</v>
      </c>
      <c r="T79">
        <f t="shared" si="58"/>
        <v>803</v>
      </c>
      <c r="U79">
        <f t="shared" si="58"/>
        <v>1802</v>
      </c>
      <c r="V79">
        <f t="shared" si="58"/>
        <v>4173</v>
      </c>
      <c r="W79">
        <f t="shared" si="58"/>
        <v>9471</v>
      </c>
      <c r="X79">
        <f t="shared" si="58"/>
        <v>22035</v>
      </c>
      <c r="Y79">
        <f t="shared" si="58"/>
        <v>50552</v>
      </c>
      <c r="Z79">
        <f t="shared" si="58"/>
        <v>118058</v>
      </c>
      <c r="AA79">
        <f t="shared" si="58"/>
        <v>273462</v>
      </c>
    </row>
    <row r="80" spans="1:27" x14ac:dyDescent="0.25">
      <c r="B80">
        <v>3</v>
      </c>
      <c r="C80">
        <v>3</v>
      </c>
      <c r="D80">
        <v>6</v>
      </c>
      <c r="E80">
        <v>9</v>
      </c>
      <c r="F80" t="s">
        <v>255</v>
      </c>
      <c r="G80" t="s">
        <v>21</v>
      </c>
      <c r="H80">
        <v>1</v>
      </c>
      <c r="I80">
        <v>7</v>
      </c>
      <c r="J80" t="s">
        <v>306</v>
      </c>
      <c r="K80" t="s">
        <v>307</v>
      </c>
      <c r="L80">
        <f>COUNTIF(C77:D98,B80)</f>
        <v>2</v>
      </c>
      <c r="M80">
        <f>SUM(L83,L90)</f>
        <v>6</v>
      </c>
      <c r="N80">
        <f t="shared" ref="N80:AA80" si="59">SUM(M83,M90)</f>
        <v>13</v>
      </c>
      <c r="O80">
        <f t="shared" si="59"/>
        <v>31</v>
      </c>
      <c r="P80">
        <f t="shared" si="59"/>
        <v>71</v>
      </c>
      <c r="Q80">
        <f t="shared" si="59"/>
        <v>163</v>
      </c>
      <c r="R80">
        <f t="shared" si="59"/>
        <v>379</v>
      </c>
      <c r="S80">
        <f t="shared" si="59"/>
        <v>870</v>
      </c>
      <c r="T80">
        <f t="shared" si="59"/>
        <v>2033</v>
      </c>
      <c r="U80">
        <f t="shared" si="59"/>
        <v>4701</v>
      </c>
      <c r="V80">
        <f t="shared" si="59"/>
        <v>11015</v>
      </c>
      <c r="W80">
        <f t="shared" si="59"/>
        <v>25674</v>
      </c>
      <c r="X80">
        <f t="shared" si="59"/>
        <v>60294</v>
      </c>
      <c r="Y80">
        <f t="shared" si="59"/>
        <v>141544</v>
      </c>
      <c r="Z80">
        <f t="shared" si="59"/>
        <v>333143</v>
      </c>
      <c r="AA80">
        <f t="shared" si="59"/>
        <v>786878</v>
      </c>
    </row>
    <row r="81" spans="2:27" x14ac:dyDescent="0.25">
      <c r="B81">
        <v>4</v>
      </c>
      <c r="C81">
        <v>3</v>
      </c>
      <c r="D81">
        <v>13</v>
      </c>
      <c r="E81">
        <v>7</v>
      </c>
      <c r="F81" t="s">
        <v>255</v>
      </c>
      <c r="G81" t="s">
        <v>21</v>
      </c>
      <c r="H81">
        <v>1</v>
      </c>
      <c r="I81">
        <v>7</v>
      </c>
      <c r="J81" t="s">
        <v>308</v>
      </c>
      <c r="K81" t="s">
        <v>309</v>
      </c>
      <c r="L81">
        <f>COUNTIF(C77:D98,B81)</f>
        <v>2</v>
      </c>
      <c r="M81">
        <f>SUM(L86,L87)</f>
        <v>5</v>
      </c>
      <c r="N81">
        <f t="shared" ref="N81:AA81" si="60">SUM(M86,M87)</f>
        <v>12</v>
      </c>
      <c r="O81">
        <f t="shared" si="60"/>
        <v>30</v>
      </c>
      <c r="P81">
        <f t="shared" si="60"/>
        <v>73</v>
      </c>
      <c r="Q81">
        <f t="shared" si="60"/>
        <v>181</v>
      </c>
      <c r="R81">
        <f t="shared" si="60"/>
        <v>439</v>
      </c>
      <c r="S81">
        <f t="shared" si="60"/>
        <v>1083</v>
      </c>
      <c r="T81">
        <f t="shared" si="60"/>
        <v>2617</v>
      </c>
      <c r="U81">
        <f t="shared" si="60"/>
        <v>6434</v>
      </c>
      <c r="V81">
        <f t="shared" si="60"/>
        <v>15513</v>
      </c>
      <c r="W81">
        <f t="shared" si="60"/>
        <v>38033</v>
      </c>
      <c r="X81">
        <f t="shared" si="60"/>
        <v>91605</v>
      </c>
      <c r="Y81">
        <f t="shared" si="60"/>
        <v>224042</v>
      </c>
      <c r="Z81">
        <f t="shared" si="60"/>
        <v>539416</v>
      </c>
      <c r="AA81">
        <f t="shared" si="60"/>
        <v>1316482</v>
      </c>
    </row>
    <row r="82" spans="2:27" x14ac:dyDescent="0.25">
      <c r="B82">
        <v>5</v>
      </c>
      <c r="C82">
        <v>4</v>
      </c>
      <c r="D82">
        <v>9</v>
      </c>
      <c r="E82">
        <v>5</v>
      </c>
      <c r="F82" t="s">
        <v>16</v>
      </c>
      <c r="G82" t="s">
        <v>12</v>
      </c>
      <c r="H82">
        <v>1</v>
      </c>
      <c r="I82">
        <v>6</v>
      </c>
      <c r="J82" t="s">
        <v>310</v>
      </c>
      <c r="K82" t="s">
        <v>311</v>
      </c>
      <c r="L82">
        <f>COUNTIF(C77:D98,B82)</f>
        <v>2</v>
      </c>
      <c r="M82">
        <f>SUM(L83,L84)</f>
        <v>6</v>
      </c>
      <c r="N82">
        <f t="shared" ref="N82:AA82" si="61">SUM(M83,M84)</f>
        <v>14</v>
      </c>
      <c r="O82">
        <f t="shared" si="61"/>
        <v>36</v>
      </c>
      <c r="P82">
        <f t="shared" si="61"/>
        <v>85</v>
      </c>
      <c r="Q82">
        <f t="shared" si="61"/>
        <v>210</v>
      </c>
      <c r="R82">
        <f t="shared" si="61"/>
        <v>497</v>
      </c>
      <c r="S82">
        <f t="shared" si="61"/>
        <v>1212</v>
      </c>
      <c r="T82">
        <f t="shared" si="61"/>
        <v>2871</v>
      </c>
      <c r="U82">
        <f t="shared" si="61"/>
        <v>6969</v>
      </c>
      <c r="V82">
        <f t="shared" si="61"/>
        <v>16526</v>
      </c>
      <c r="W82">
        <f t="shared" si="61"/>
        <v>40049</v>
      </c>
      <c r="X82">
        <f t="shared" si="61"/>
        <v>95096</v>
      </c>
      <c r="Y82">
        <f t="shared" si="61"/>
        <v>230342</v>
      </c>
      <c r="Z82">
        <f t="shared" si="61"/>
        <v>547724</v>
      </c>
      <c r="AA82">
        <f t="shared" si="61"/>
        <v>1326640</v>
      </c>
    </row>
    <row r="83" spans="2:27" x14ac:dyDescent="0.25">
      <c r="B83">
        <v>6</v>
      </c>
      <c r="C83">
        <v>4</v>
      </c>
      <c r="D83">
        <v>10</v>
      </c>
      <c r="E83">
        <v>4</v>
      </c>
      <c r="F83" t="s">
        <v>16</v>
      </c>
      <c r="G83" t="s">
        <v>12</v>
      </c>
      <c r="H83">
        <v>1</v>
      </c>
      <c r="I83">
        <v>6</v>
      </c>
      <c r="J83" t="s">
        <v>312</v>
      </c>
      <c r="K83" t="s">
        <v>313</v>
      </c>
      <c r="L83">
        <f>COUNTIF(C77:D98,B83)</f>
        <v>3</v>
      </c>
      <c r="M83">
        <f>SUM(L80,L82,L89)</f>
        <v>7</v>
      </c>
      <c r="N83">
        <f t="shared" ref="N83:AA83" si="62">SUM(M80,M82,M89)</f>
        <v>17</v>
      </c>
      <c r="O83">
        <f t="shared" si="62"/>
        <v>40</v>
      </c>
      <c r="P83">
        <f t="shared" si="62"/>
        <v>94</v>
      </c>
      <c r="Q83">
        <f t="shared" si="62"/>
        <v>222</v>
      </c>
      <c r="R83">
        <f t="shared" si="62"/>
        <v>521</v>
      </c>
      <c r="S83">
        <f t="shared" si="62"/>
        <v>1230</v>
      </c>
      <c r="T83">
        <f t="shared" si="62"/>
        <v>2899</v>
      </c>
      <c r="U83">
        <f t="shared" si="62"/>
        <v>6842</v>
      </c>
      <c r="V83">
        <f t="shared" si="62"/>
        <v>16203</v>
      </c>
      <c r="W83">
        <f t="shared" si="62"/>
        <v>38259</v>
      </c>
      <c r="X83">
        <f t="shared" si="62"/>
        <v>90992</v>
      </c>
      <c r="Y83">
        <f t="shared" si="62"/>
        <v>215085</v>
      </c>
      <c r="Z83">
        <f t="shared" si="62"/>
        <v>513416</v>
      </c>
      <c r="AA83">
        <f t="shared" si="62"/>
        <v>1215342</v>
      </c>
    </row>
    <row r="84" spans="2:27" x14ac:dyDescent="0.25">
      <c r="B84">
        <v>7</v>
      </c>
      <c r="C84">
        <v>5</v>
      </c>
      <c r="D84">
        <v>6</v>
      </c>
      <c r="E84">
        <v>1</v>
      </c>
      <c r="F84" t="s">
        <v>16</v>
      </c>
      <c r="G84" t="s">
        <v>12</v>
      </c>
      <c r="H84">
        <v>1</v>
      </c>
      <c r="I84">
        <v>6</v>
      </c>
      <c r="J84" t="s">
        <v>314</v>
      </c>
      <c r="K84" t="s">
        <v>315</v>
      </c>
      <c r="L84">
        <f>COUNTIF(C77:D98,B84)</f>
        <v>3</v>
      </c>
      <c r="M84">
        <f>SUM(L82,L85,L87)</f>
        <v>7</v>
      </c>
      <c r="N84">
        <f t="shared" ref="N84:AA84" si="63">SUM(M82,M85,M87)</f>
        <v>19</v>
      </c>
      <c r="O84">
        <f t="shared" si="63"/>
        <v>45</v>
      </c>
      <c r="P84">
        <f t="shared" si="63"/>
        <v>116</v>
      </c>
      <c r="Q84">
        <f t="shared" si="63"/>
        <v>275</v>
      </c>
      <c r="R84">
        <f t="shared" si="63"/>
        <v>691</v>
      </c>
      <c r="S84">
        <f t="shared" si="63"/>
        <v>1641</v>
      </c>
      <c r="T84">
        <f t="shared" si="63"/>
        <v>4070</v>
      </c>
      <c r="U84">
        <f t="shared" si="63"/>
        <v>9684</v>
      </c>
      <c r="V84">
        <f t="shared" si="63"/>
        <v>23846</v>
      </c>
      <c r="W84">
        <f t="shared" si="63"/>
        <v>56837</v>
      </c>
      <c r="X84">
        <f t="shared" si="63"/>
        <v>139350</v>
      </c>
      <c r="Y84">
        <f t="shared" si="63"/>
        <v>332639</v>
      </c>
      <c r="Z84">
        <f t="shared" si="63"/>
        <v>813224</v>
      </c>
      <c r="AA84">
        <f t="shared" si="63"/>
        <v>1943705</v>
      </c>
    </row>
    <row r="85" spans="2:27" x14ac:dyDescent="0.25">
      <c r="B85">
        <v>8</v>
      </c>
      <c r="C85">
        <v>5</v>
      </c>
      <c r="D85">
        <v>7</v>
      </c>
      <c r="E85">
        <v>2</v>
      </c>
      <c r="F85" t="s">
        <v>16</v>
      </c>
      <c r="G85" t="s">
        <v>12</v>
      </c>
      <c r="H85">
        <v>1</v>
      </c>
      <c r="I85">
        <v>6</v>
      </c>
      <c r="J85" t="s">
        <v>316</v>
      </c>
      <c r="K85" t="s">
        <v>317</v>
      </c>
      <c r="L85">
        <f>COUNTIF(C77:D98,B85)</f>
        <v>3</v>
      </c>
      <c r="M85">
        <f>SUM(L84,L86,L88)</f>
        <v>8</v>
      </c>
      <c r="N85">
        <f t="shared" ref="N85:AA85" si="64">SUM(M84,M86,M88)</f>
        <v>19</v>
      </c>
      <c r="O85">
        <f t="shared" si="64"/>
        <v>49</v>
      </c>
      <c r="P85">
        <f t="shared" si="64"/>
        <v>115</v>
      </c>
      <c r="Q85">
        <f t="shared" si="64"/>
        <v>292</v>
      </c>
      <c r="R85">
        <f t="shared" si="64"/>
        <v>688</v>
      </c>
      <c r="S85">
        <f t="shared" si="64"/>
        <v>1728</v>
      </c>
      <c r="T85">
        <f t="shared" si="64"/>
        <v>4089</v>
      </c>
      <c r="U85">
        <f t="shared" si="64"/>
        <v>10190</v>
      </c>
      <c r="V85">
        <f t="shared" si="64"/>
        <v>24193</v>
      </c>
      <c r="W85">
        <f t="shared" si="64"/>
        <v>59942</v>
      </c>
      <c r="X85">
        <f t="shared" si="64"/>
        <v>142673</v>
      </c>
      <c r="Y85">
        <f t="shared" si="64"/>
        <v>351927</v>
      </c>
      <c r="Z85">
        <f t="shared" si="64"/>
        <v>839300</v>
      </c>
      <c r="AA85">
        <f t="shared" si="64"/>
        <v>2063017</v>
      </c>
    </row>
    <row r="86" spans="2:27" x14ac:dyDescent="0.25">
      <c r="B86">
        <v>9</v>
      </c>
      <c r="C86">
        <v>6</v>
      </c>
      <c r="D86">
        <v>12</v>
      </c>
      <c r="E86">
        <v>3</v>
      </c>
      <c r="F86" t="s">
        <v>16</v>
      </c>
      <c r="G86" t="s">
        <v>12</v>
      </c>
      <c r="H86">
        <v>1</v>
      </c>
      <c r="I86">
        <v>6</v>
      </c>
      <c r="J86" t="s">
        <v>318</v>
      </c>
      <c r="K86" t="s">
        <v>319</v>
      </c>
      <c r="L86">
        <f>COUNTIF(C77:D98,B86)</f>
        <v>3</v>
      </c>
      <c r="M86">
        <f>SUM(L81,L85,L92)</f>
        <v>7</v>
      </c>
      <c r="N86">
        <f t="shared" ref="N86:AA86" si="65">SUM(M81,M85,M92)</f>
        <v>18</v>
      </c>
      <c r="O86">
        <f t="shared" si="65"/>
        <v>42</v>
      </c>
      <c r="P86">
        <f t="shared" si="65"/>
        <v>106</v>
      </c>
      <c r="Q86">
        <f t="shared" si="65"/>
        <v>250</v>
      </c>
      <c r="R86">
        <f t="shared" si="65"/>
        <v>627</v>
      </c>
      <c r="S86">
        <f t="shared" si="65"/>
        <v>1487</v>
      </c>
      <c r="T86">
        <f t="shared" si="65"/>
        <v>3710</v>
      </c>
      <c r="U86">
        <f t="shared" si="65"/>
        <v>8826</v>
      </c>
      <c r="V86">
        <f t="shared" si="65"/>
        <v>21915</v>
      </c>
      <c r="W86">
        <f t="shared" si="65"/>
        <v>52246</v>
      </c>
      <c r="X86">
        <f t="shared" si="65"/>
        <v>129172</v>
      </c>
      <c r="Y86">
        <f t="shared" si="65"/>
        <v>308461</v>
      </c>
      <c r="Z86">
        <f t="shared" si="65"/>
        <v>759801</v>
      </c>
      <c r="AA86">
        <f t="shared" si="65"/>
        <v>1816887</v>
      </c>
    </row>
    <row r="87" spans="2:27" x14ac:dyDescent="0.25">
      <c r="B87">
        <v>10</v>
      </c>
      <c r="C87">
        <v>7</v>
      </c>
      <c r="D87">
        <v>8</v>
      </c>
      <c r="E87">
        <v>6</v>
      </c>
      <c r="F87" t="s">
        <v>16</v>
      </c>
      <c r="G87" t="s">
        <v>12</v>
      </c>
      <c r="H87">
        <v>1</v>
      </c>
      <c r="I87">
        <v>6</v>
      </c>
      <c r="J87" t="s">
        <v>320</v>
      </c>
      <c r="K87" t="s">
        <v>321</v>
      </c>
      <c r="L87">
        <f>COUNTIF(C77:D98,B87)</f>
        <v>2</v>
      </c>
      <c r="M87">
        <f>SUM(L81,L84)</f>
        <v>5</v>
      </c>
      <c r="N87">
        <f t="shared" ref="N87:AA87" si="66">SUM(M81,M84)</f>
        <v>12</v>
      </c>
      <c r="O87">
        <f t="shared" si="66"/>
        <v>31</v>
      </c>
      <c r="P87">
        <f t="shared" si="66"/>
        <v>75</v>
      </c>
      <c r="Q87">
        <f t="shared" si="66"/>
        <v>189</v>
      </c>
      <c r="R87">
        <f t="shared" si="66"/>
        <v>456</v>
      </c>
      <c r="S87">
        <f t="shared" si="66"/>
        <v>1130</v>
      </c>
      <c r="T87">
        <f t="shared" si="66"/>
        <v>2724</v>
      </c>
      <c r="U87">
        <f t="shared" si="66"/>
        <v>6687</v>
      </c>
      <c r="V87">
        <f t="shared" si="66"/>
        <v>16118</v>
      </c>
      <c r="W87">
        <f t="shared" si="66"/>
        <v>39359</v>
      </c>
      <c r="X87">
        <f t="shared" si="66"/>
        <v>94870</v>
      </c>
      <c r="Y87">
        <f t="shared" si="66"/>
        <v>230955</v>
      </c>
      <c r="Z87">
        <f t="shared" si="66"/>
        <v>556681</v>
      </c>
      <c r="AA87">
        <f t="shared" si="66"/>
        <v>1352640</v>
      </c>
    </row>
    <row r="88" spans="2:27" x14ac:dyDescent="0.25">
      <c r="B88">
        <v>11</v>
      </c>
      <c r="C88">
        <v>7</v>
      </c>
      <c r="D88">
        <v>10</v>
      </c>
      <c r="E88">
        <v>8</v>
      </c>
      <c r="F88" t="s">
        <v>16</v>
      </c>
      <c r="G88" t="s">
        <v>12</v>
      </c>
      <c r="H88">
        <v>1</v>
      </c>
      <c r="I88">
        <v>6</v>
      </c>
      <c r="J88" t="s">
        <v>322</v>
      </c>
      <c r="K88" t="s">
        <v>323</v>
      </c>
      <c r="L88">
        <f>COUNTIF(C77:D98,B88)</f>
        <v>2</v>
      </c>
      <c r="M88">
        <f>SUM(L85,L93)</f>
        <v>5</v>
      </c>
      <c r="N88">
        <f t="shared" ref="N88:AA88" si="67">SUM(M85,M93)</f>
        <v>12</v>
      </c>
      <c r="O88">
        <f t="shared" si="67"/>
        <v>28</v>
      </c>
      <c r="P88">
        <f t="shared" si="67"/>
        <v>70</v>
      </c>
      <c r="Q88">
        <f t="shared" si="67"/>
        <v>163</v>
      </c>
      <c r="R88">
        <f t="shared" si="67"/>
        <v>410</v>
      </c>
      <c r="S88">
        <f t="shared" si="67"/>
        <v>961</v>
      </c>
      <c r="T88">
        <f t="shared" si="67"/>
        <v>2410</v>
      </c>
      <c r="U88">
        <f t="shared" si="67"/>
        <v>5683</v>
      </c>
      <c r="V88">
        <f t="shared" si="67"/>
        <v>14181</v>
      </c>
      <c r="W88">
        <f t="shared" si="67"/>
        <v>33590</v>
      </c>
      <c r="X88">
        <f t="shared" si="67"/>
        <v>83405</v>
      </c>
      <c r="Y88">
        <f t="shared" si="67"/>
        <v>198200</v>
      </c>
      <c r="Z88">
        <f t="shared" si="67"/>
        <v>489992</v>
      </c>
      <c r="AA88">
        <f t="shared" si="67"/>
        <v>1167210</v>
      </c>
    </row>
    <row r="89" spans="2:27" x14ac:dyDescent="0.25">
      <c r="B89">
        <v>12</v>
      </c>
      <c r="C89">
        <v>8</v>
      </c>
      <c r="D89">
        <v>9</v>
      </c>
      <c r="E89">
        <v>11</v>
      </c>
      <c r="F89" t="s">
        <v>16</v>
      </c>
      <c r="G89" t="s">
        <v>12</v>
      </c>
      <c r="H89">
        <v>1</v>
      </c>
      <c r="I89">
        <v>6</v>
      </c>
      <c r="J89" t="s">
        <v>324</v>
      </c>
      <c r="K89" t="s">
        <v>325</v>
      </c>
      <c r="L89">
        <f>COUNTIF(C77:D98,B89)</f>
        <v>3</v>
      </c>
      <c r="M89">
        <f>SUM(L78,L83,L96)</f>
        <v>5</v>
      </c>
      <c r="N89">
        <f t="shared" ref="N89:AA89" si="68">SUM(M78,M83,M96)</f>
        <v>13</v>
      </c>
      <c r="O89">
        <f t="shared" si="68"/>
        <v>27</v>
      </c>
      <c r="P89">
        <f t="shared" si="68"/>
        <v>66</v>
      </c>
      <c r="Q89">
        <f t="shared" si="68"/>
        <v>148</v>
      </c>
      <c r="R89">
        <f t="shared" si="68"/>
        <v>354</v>
      </c>
      <c r="S89">
        <f t="shared" si="68"/>
        <v>817</v>
      </c>
      <c r="T89">
        <f t="shared" si="68"/>
        <v>1938</v>
      </c>
      <c r="U89">
        <f t="shared" si="68"/>
        <v>4533</v>
      </c>
      <c r="V89">
        <f t="shared" si="68"/>
        <v>10718</v>
      </c>
      <c r="W89">
        <f t="shared" si="68"/>
        <v>25269</v>
      </c>
      <c r="X89">
        <f t="shared" si="68"/>
        <v>59695</v>
      </c>
      <c r="Y89">
        <f t="shared" si="68"/>
        <v>141530</v>
      </c>
      <c r="Z89">
        <f t="shared" si="68"/>
        <v>334475</v>
      </c>
      <c r="AA89">
        <f t="shared" si="68"/>
        <v>796476</v>
      </c>
    </row>
    <row r="90" spans="2:27" x14ac:dyDescent="0.25">
      <c r="B90">
        <v>13</v>
      </c>
      <c r="C90">
        <v>8</v>
      </c>
      <c r="D90">
        <v>11</v>
      </c>
      <c r="E90">
        <v>12</v>
      </c>
      <c r="F90" t="s">
        <v>16</v>
      </c>
      <c r="G90" t="s">
        <v>12</v>
      </c>
      <c r="H90">
        <v>1</v>
      </c>
      <c r="I90">
        <v>6</v>
      </c>
      <c r="J90" t="s">
        <v>326</v>
      </c>
      <c r="K90" t="s">
        <v>327</v>
      </c>
      <c r="L90">
        <f>COUNTIF(C77:D98,B90)</f>
        <v>3</v>
      </c>
      <c r="M90">
        <f>SUM(L79,L80,L91)</f>
        <v>6</v>
      </c>
      <c r="N90">
        <f t="shared" ref="N90:AA90" si="69">SUM(M79,M80,M91)</f>
        <v>14</v>
      </c>
      <c r="O90">
        <f t="shared" si="69"/>
        <v>31</v>
      </c>
      <c r="P90">
        <f t="shared" si="69"/>
        <v>69</v>
      </c>
      <c r="Q90">
        <f t="shared" si="69"/>
        <v>157</v>
      </c>
      <c r="R90">
        <f t="shared" si="69"/>
        <v>349</v>
      </c>
      <c r="S90">
        <f t="shared" si="69"/>
        <v>803</v>
      </c>
      <c r="T90">
        <f t="shared" si="69"/>
        <v>1802</v>
      </c>
      <c r="U90">
        <f t="shared" si="69"/>
        <v>4173</v>
      </c>
      <c r="V90">
        <f t="shared" si="69"/>
        <v>9471</v>
      </c>
      <c r="W90">
        <f t="shared" si="69"/>
        <v>22035</v>
      </c>
      <c r="X90">
        <f t="shared" si="69"/>
        <v>50552</v>
      </c>
      <c r="Y90">
        <f t="shared" si="69"/>
        <v>118058</v>
      </c>
      <c r="Z90">
        <f t="shared" si="69"/>
        <v>273462</v>
      </c>
      <c r="AA90">
        <f t="shared" si="69"/>
        <v>640717</v>
      </c>
    </row>
    <row r="91" spans="2:27" x14ac:dyDescent="0.25">
      <c r="B91">
        <v>14</v>
      </c>
      <c r="C91">
        <v>9</v>
      </c>
      <c r="D91">
        <v>15</v>
      </c>
      <c r="E91">
        <v>15</v>
      </c>
      <c r="F91" t="s">
        <v>16</v>
      </c>
      <c r="G91" t="s">
        <v>12</v>
      </c>
      <c r="H91">
        <v>1</v>
      </c>
      <c r="I91">
        <v>6</v>
      </c>
      <c r="J91" t="s">
        <v>328</v>
      </c>
      <c r="K91" t="s">
        <v>329</v>
      </c>
      <c r="L91">
        <f>COUNTIF(C77:D98,B91)</f>
        <v>3</v>
      </c>
      <c r="M91">
        <f>SUM(L90,L95,L97)</f>
        <v>5</v>
      </c>
      <c r="N91">
        <f t="shared" ref="N91:AA91" si="70">SUM(M90,M95,M97)</f>
        <v>12</v>
      </c>
      <c r="O91">
        <f t="shared" si="70"/>
        <v>24</v>
      </c>
      <c r="P91">
        <f t="shared" si="70"/>
        <v>55</v>
      </c>
      <c r="Q91">
        <f t="shared" si="70"/>
        <v>117</v>
      </c>
      <c r="R91">
        <f t="shared" si="70"/>
        <v>267</v>
      </c>
      <c r="S91">
        <f t="shared" si="70"/>
        <v>583</v>
      </c>
      <c r="T91">
        <f t="shared" si="70"/>
        <v>1337</v>
      </c>
      <c r="U91">
        <f t="shared" si="70"/>
        <v>2968</v>
      </c>
      <c r="V91">
        <f t="shared" si="70"/>
        <v>6847</v>
      </c>
      <c r="W91">
        <f t="shared" si="70"/>
        <v>15407</v>
      </c>
      <c r="X91">
        <f t="shared" si="70"/>
        <v>35729</v>
      </c>
      <c r="Y91">
        <f t="shared" si="70"/>
        <v>81366</v>
      </c>
      <c r="Z91">
        <f t="shared" si="70"/>
        <v>189516</v>
      </c>
      <c r="AA91">
        <f t="shared" si="70"/>
        <v>436194</v>
      </c>
    </row>
    <row r="92" spans="2:27" x14ac:dyDescent="0.25">
      <c r="B92">
        <v>15</v>
      </c>
      <c r="C92">
        <v>11</v>
      </c>
      <c r="D92">
        <v>16</v>
      </c>
      <c r="E92">
        <v>10</v>
      </c>
      <c r="F92" t="s">
        <v>16</v>
      </c>
      <c r="G92" t="s">
        <v>12</v>
      </c>
      <c r="H92">
        <v>1</v>
      </c>
      <c r="I92">
        <v>6</v>
      </c>
      <c r="J92" t="s">
        <v>330</v>
      </c>
      <c r="K92" t="s">
        <v>331</v>
      </c>
      <c r="L92">
        <f>COUNTIF(C77:D98,B92)</f>
        <v>2</v>
      </c>
      <c r="M92">
        <f>SUM(L86,L94)</f>
        <v>5</v>
      </c>
      <c r="N92">
        <f t="shared" ref="N92:AA92" si="71">SUM(M86,M94)</f>
        <v>11</v>
      </c>
      <c r="O92">
        <f t="shared" si="71"/>
        <v>27</v>
      </c>
      <c r="P92">
        <f t="shared" si="71"/>
        <v>62</v>
      </c>
      <c r="Q92">
        <f t="shared" si="71"/>
        <v>154</v>
      </c>
      <c r="R92">
        <f t="shared" si="71"/>
        <v>360</v>
      </c>
      <c r="S92">
        <f t="shared" si="71"/>
        <v>899</v>
      </c>
      <c r="T92">
        <f t="shared" si="71"/>
        <v>2120</v>
      </c>
      <c r="U92">
        <f t="shared" si="71"/>
        <v>5291</v>
      </c>
      <c r="V92">
        <f t="shared" si="71"/>
        <v>12540</v>
      </c>
      <c r="W92">
        <f t="shared" si="71"/>
        <v>31197</v>
      </c>
      <c r="X92">
        <f t="shared" si="71"/>
        <v>74183</v>
      </c>
      <c r="Y92">
        <f t="shared" si="71"/>
        <v>183832</v>
      </c>
      <c r="Z92">
        <f t="shared" si="71"/>
        <v>438171</v>
      </c>
      <c r="AA92">
        <f t="shared" si="71"/>
        <v>1081698</v>
      </c>
    </row>
    <row r="93" spans="2:27" x14ac:dyDescent="0.25">
      <c r="B93">
        <v>16</v>
      </c>
      <c r="C93">
        <v>12</v>
      </c>
      <c r="D93">
        <v>19</v>
      </c>
      <c r="E93">
        <v>13</v>
      </c>
      <c r="F93" t="s">
        <v>16</v>
      </c>
      <c r="G93" t="s">
        <v>12</v>
      </c>
      <c r="H93">
        <v>1</v>
      </c>
      <c r="I93">
        <v>6</v>
      </c>
      <c r="J93" t="s">
        <v>332</v>
      </c>
      <c r="K93" t="s">
        <v>333</v>
      </c>
      <c r="L93">
        <f>COUNTIF(C77:D98,B93)</f>
        <v>2</v>
      </c>
      <c r="M93">
        <f>SUM(L88,L94)</f>
        <v>4</v>
      </c>
      <c r="N93">
        <f t="shared" ref="N93:AA93" si="72">SUM(M88,M94)</f>
        <v>9</v>
      </c>
      <c r="O93">
        <f t="shared" si="72"/>
        <v>21</v>
      </c>
      <c r="P93">
        <f t="shared" si="72"/>
        <v>48</v>
      </c>
      <c r="Q93">
        <f t="shared" si="72"/>
        <v>118</v>
      </c>
      <c r="R93">
        <f t="shared" si="72"/>
        <v>273</v>
      </c>
      <c r="S93">
        <f t="shared" si="72"/>
        <v>682</v>
      </c>
      <c r="T93">
        <f t="shared" si="72"/>
        <v>1594</v>
      </c>
      <c r="U93">
        <f t="shared" si="72"/>
        <v>3991</v>
      </c>
      <c r="V93">
        <f t="shared" si="72"/>
        <v>9397</v>
      </c>
      <c r="W93">
        <f t="shared" si="72"/>
        <v>23463</v>
      </c>
      <c r="X93">
        <f t="shared" si="72"/>
        <v>55527</v>
      </c>
      <c r="Y93">
        <f t="shared" si="72"/>
        <v>138065</v>
      </c>
      <c r="Z93">
        <f t="shared" si="72"/>
        <v>327910</v>
      </c>
      <c r="AA93">
        <f t="shared" si="72"/>
        <v>811889</v>
      </c>
    </row>
    <row r="94" spans="2:27" x14ac:dyDescent="0.25">
      <c r="B94">
        <v>17</v>
      </c>
      <c r="C94">
        <v>13</v>
      </c>
      <c r="D94">
        <v>14</v>
      </c>
      <c r="E94">
        <v>14</v>
      </c>
      <c r="F94" t="s">
        <v>16</v>
      </c>
      <c r="G94" t="s">
        <v>12</v>
      </c>
      <c r="H94">
        <v>1</v>
      </c>
      <c r="I94">
        <v>6</v>
      </c>
      <c r="J94" t="s">
        <v>334</v>
      </c>
      <c r="K94" t="s">
        <v>335</v>
      </c>
      <c r="L94">
        <f>COUNTIF(C77:D98,B94)</f>
        <v>2</v>
      </c>
      <c r="M94">
        <f>SUM(L92,L93)</f>
        <v>4</v>
      </c>
      <c r="N94">
        <f t="shared" ref="N94:AA94" si="73">SUM(M92,M93)</f>
        <v>9</v>
      </c>
      <c r="O94">
        <f t="shared" si="73"/>
        <v>20</v>
      </c>
      <c r="P94">
        <f t="shared" si="73"/>
        <v>48</v>
      </c>
      <c r="Q94">
        <f t="shared" si="73"/>
        <v>110</v>
      </c>
      <c r="R94">
        <f t="shared" si="73"/>
        <v>272</v>
      </c>
      <c r="S94">
        <f t="shared" si="73"/>
        <v>633</v>
      </c>
      <c r="T94">
        <f t="shared" si="73"/>
        <v>1581</v>
      </c>
      <c r="U94">
        <f t="shared" si="73"/>
        <v>3714</v>
      </c>
      <c r="V94">
        <f t="shared" si="73"/>
        <v>9282</v>
      </c>
      <c r="W94">
        <f t="shared" si="73"/>
        <v>21937</v>
      </c>
      <c r="X94">
        <f t="shared" si="73"/>
        <v>54660</v>
      </c>
      <c r="Y94">
        <f t="shared" si="73"/>
        <v>129710</v>
      </c>
      <c r="Z94">
        <f t="shared" si="73"/>
        <v>321897</v>
      </c>
      <c r="AA94">
        <f t="shared" si="73"/>
        <v>766081</v>
      </c>
    </row>
    <row r="95" spans="2:27" x14ac:dyDescent="0.25">
      <c r="B95">
        <v>18</v>
      </c>
      <c r="C95">
        <v>14</v>
      </c>
      <c r="D95">
        <v>18</v>
      </c>
      <c r="E95">
        <v>20</v>
      </c>
      <c r="F95" t="s">
        <v>16</v>
      </c>
      <c r="G95" t="s">
        <v>12</v>
      </c>
      <c r="H95">
        <v>1</v>
      </c>
      <c r="I95">
        <v>6</v>
      </c>
      <c r="J95">
        <v>14</v>
      </c>
      <c r="K95" t="s">
        <v>336</v>
      </c>
      <c r="L95">
        <f>COUNTIF(C77:D98,B95)</f>
        <v>1</v>
      </c>
      <c r="M95">
        <f>SUM(L91)</f>
        <v>3</v>
      </c>
      <c r="N95">
        <f t="shared" ref="N95:AA95" si="74">SUM(M91)</f>
        <v>5</v>
      </c>
      <c r="O95">
        <f t="shared" si="74"/>
        <v>12</v>
      </c>
      <c r="P95">
        <f t="shared" si="74"/>
        <v>24</v>
      </c>
      <c r="Q95">
        <f t="shared" si="74"/>
        <v>55</v>
      </c>
      <c r="R95">
        <f t="shared" si="74"/>
        <v>117</v>
      </c>
      <c r="S95">
        <f t="shared" si="74"/>
        <v>267</v>
      </c>
      <c r="T95">
        <f t="shared" si="74"/>
        <v>583</v>
      </c>
      <c r="U95">
        <f t="shared" si="74"/>
        <v>1337</v>
      </c>
      <c r="V95">
        <f t="shared" si="74"/>
        <v>2968</v>
      </c>
      <c r="W95">
        <f t="shared" si="74"/>
        <v>6847</v>
      </c>
      <c r="X95">
        <f t="shared" si="74"/>
        <v>15407</v>
      </c>
      <c r="Y95">
        <f t="shared" si="74"/>
        <v>35729</v>
      </c>
      <c r="Z95">
        <f t="shared" si="74"/>
        <v>81366</v>
      </c>
      <c r="AA95">
        <f t="shared" si="74"/>
        <v>189516</v>
      </c>
    </row>
    <row r="96" spans="2:27" x14ac:dyDescent="0.25">
      <c r="B96">
        <v>19</v>
      </c>
      <c r="C96">
        <v>14</v>
      </c>
      <c r="D96">
        <v>20</v>
      </c>
      <c r="E96">
        <v>18</v>
      </c>
      <c r="F96" t="s">
        <v>39</v>
      </c>
      <c r="G96" t="s">
        <v>23</v>
      </c>
      <c r="H96">
        <v>1</v>
      </c>
      <c r="I96">
        <v>8</v>
      </c>
      <c r="J96">
        <v>12</v>
      </c>
      <c r="K96" t="s">
        <v>304</v>
      </c>
      <c r="L96">
        <f>COUNTIF(C77:D98,B96)</f>
        <v>1</v>
      </c>
      <c r="M96">
        <f>SUM(L89)</f>
        <v>3</v>
      </c>
      <c r="N96">
        <f t="shared" ref="N96:AA96" si="75">SUM(M89)</f>
        <v>5</v>
      </c>
      <c r="O96">
        <f t="shared" si="75"/>
        <v>13</v>
      </c>
      <c r="P96">
        <f t="shared" si="75"/>
        <v>27</v>
      </c>
      <c r="Q96">
        <f t="shared" si="75"/>
        <v>66</v>
      </c>
      <c r="R96">
        <f t="shared" si="75"/>
        <v>148</v>
      </c>
      <c r="S96">
        <f t="shared" si="75"/>
        <v>354</v>
      </c>
      <c r="T96">
        <f t="shared" si="75"/>
        <v>817</v>
      </c>
      <c r="U96">
        <f t="shared" si="75"/>
        <v>1938</v>
      </c>
      <c r="V96">
        <f t="shared" si="75"/>
        <v>4533</v>
      </c>
      <c r="W96">
        <f t="shared" si="75"/>
        <v>10718</v>
      </c>
      <c r="X96">
        <f t="shared" si="75"/>
        <v>25269</v>
      </c>
      <c r="Y96">
        <f t="shared" si="75"/>
        <v>59695</v>
      </c>
      <c r="Z96">
        <f t="shared" si="75"/>
        <v>141530</v>
      </c>
      <c r="AA96">
        <f t="shared" si="75"/>
        <v>334475</v>
      </c>
    </row>
    <row r="97" spans="1:27" x14ac:dyDescent="0.25">
      <c r="B97">
        <v>20</v>
      </c>
      <c r="C97">
        <v>15</v>
      </c>
      <c r="D97">
        <v>17</v>
      </c>
      <c r="E97">
        <v>19</v>
      </c>
      <c r="F97" t="s">
        <v>255</v>
      </c>
      <c r="G97" t="s">
        <v>21</v>
      </c>
      <c r="H97">
        <v>1</v>
      </c>
      <c r="I97">
        <v>7</v>
      </c>
      <c r="J97">
        <v>14</v>
      </c>
      <c r="K97" t="s">
        <v>336</v>
      </c>
      <c r="L97">
        <f>COUNTIF(C77:D98,B97)</f>
        <v>1</v>
      </c>
      <c r="M97">
        <f>SUM(L91)</f>
        <v>3</v>
      </c>
      <c r="N97">
        <f t="shared" ref="N97:AA97" si="76">SUM(M91)</f>
        <v>5</v>
      </c>
      <c r="O97">
        <f t="shared" si="76"/>
        <v>12</v>
      </c>
      <c r="P97">
        <f t="shared" si="76"/>
        <v>24</v>
      </c>
      <c r="Q97">
        <f t="shared" si="76"/>
        <v>55</v>
      </c>
      <c r="R97">
        <f t="shared" si="76"/>
        <v>117</v>
      </c>
      <c r="S97">
        <f t="shared" si="76"/>
        <v>267</v>
      </c>
      <c r="T97">
        <f t="shared" si="76"/>
        <v>583</v>
      </c>
      <c r="U97">
        <f t="shared" si="76"/>
        <v>1337</v>
      </c>
      <c r="V97">
        <f t="shared" si="76"/>
        <v>2968</v>
      </c>
      <c r="W97">
        <f t="shared" si="76"/>
        <v>6847</v>
      </c>
      <c r="X97">
        <f t="shared" si="76"/>
        <v>15407</v>
      </c>
      <c r="Y97">
        <f t="shared" si="76"/>
        <v>35729</v>
      </c>
      <c r="Z97">
        <f t="shared" si="76"/>
        <v>81366</v>
      </c>
      <c r="AA97">
        <f t="shared" si="76"/>
        <v>189516</v>
      </c>
    </row>
    <row r="98" spans="1:27" x14ac:dyDescent="0.25">
      <c r="B98">
        <v>21</v>
      </c>
      <c r="C98">
        <v>16</v>
      </c>
      <c r="D98">
        <v>17</v>
      </c>
      <c r="E98">
        <v>21</v>
      </c>
    </row>
    <row r="99" spans="1:27" x14ac:dyDescent="0.25">
      <c r="M99">
        <f>SUM(IF(FREQUENCY(M78:M97,M78:M97)&gt;0,1))</f>
        <v>6</v>
      </c>
      <c r="N99">
        <f t="shared" ref="N99:AA99" si="77">SUM(IF(FREQUENCY(N78:N97,N78:N97)&gt;0,1))</f>
        <v>10</v>
      </c>
      <c r="O99">
        <f t="shared" si="77"/>
        <v>15</v>
      </c>
      <c r="P99">
        <f t="shared" si="77"/>
        <v>17</v>
      </c>
      <c r="Q99">
        <f t="shared" si="77"/>
        <v>17</v>
      </c>
      <c r="R99">
        <f t="shared" si="77"/>
        <v>18</v>
      </c>
      <c r="S99">
        <f t="shared" si="77"/>
        <v>18</v>
      </c>
      <c r="T99">
        <f t="shared" si="77"/>
        <v>18</v>
      </c>
      <c r="U99">
        <f t="shared" si="77"/>
        <v>18</v>
      </c>
      <c r="V99">
        <f t="shared" si="77"/>
        <v>18</v>
      </c>
      <c r="W99">
        <f t="shared" si="77"/>
        <v>18</v>
      </c>
      <c r="X99">
        <f t="shared" si="77"/>
        <v>18</v>
      </c>
      <c r="Y99">
        <f t="shared" si="77"/>
        <v>18</v>
      </c>
      <c r="Z99">
        <f t="shared" si="77"/>
        <v>18</v>
      </c>
      <c r="AA99">
        <f t="shared" si="77"/>
        <v>18</v>
      </c>
    </row>
    <row r="100" spans="1:27" x14ac:dyDescent="0.25">
      <c r="A100" t="s">
        <v>301</v>
      </c>
      <c r="E100" t="s">
        <v>142</v>
      </c>
      <c r="F100" t="s">
        <v>143</v>
      </c>
      <c r="G100" t="s">
        <v>1</v>
      </c>
      <c r="H100" t="s">
        <v>144</v>
      </c>
      <c r="I100" t="s">
        <v>145</v>
      </c>
      <c r="J100" t="s">
        <v>146</v>
      </c>
      <c r="K100" t="s">
        <v>147</v>
      </c>
      <c r="L100" t="s">
        <v>148</v>
      </c>
      <c r="M100" t="s">
        <v>149</v>
      </c>
      <c r="N100" t="s">
        <v>149</v>
      </c>
      <c r="O100" t="s">
        <v>149</v>
      </c>
      <c r="P100" t="s">
        <v>149</v>
      </c>
      <c r="Q100" t="s">
        <v>149</v>
      </c>
      <c r="R100" t="s">
        <v>149</v>
      </c>
      <c r="S100" t="s">
        <v>149</v>
      </c>
      <c r="T100" t="s">
        <v>149</v>
      </c>
      <c r="U100" t="s">
        <v>149</v>
      </c>
      <c r="V100" t="s">
        <v>149</v>
      </c>
      <c r="W100" t="s">
        <v>149</v>
      </c>
      <c r="X100" t="s">
        <v>149</v>
      </c>
      <c r="Y100" t="s">
        <v>149</v>
      </c>
      <c r="Z100" t="s">
        <v>149</v>
      </c>
      <c r="AA100" t="s">
        <v>149</v>
      </c>
    </row>
    <row r="101" spans="1:27" x14ac:dyDescent="0.25">
      <c r="B101">
        <v>1</v>
      </c>
      <c r="C101">
        <v>1</v>
      </c>
      <c r="D101">
        <v>12</v>
      </c>
      <c r="E101">
        <v>17</v>
      </c>
      <c r="F101" t="s">
        <v>39</v>
      </c>
      <c r="G101" t="s">
        <v>23</v>
      </c>
      <c r="H101">
        <v>1</v>
      </c>
      <c r="I101">
        <v>8</v>
      </c>
      <c r="J101">
        <v>12</v>
      </c>
      <c r="K101" t="s">
        <v>304</v>
      </c>
      <c r="L101">
        <f>COUNTIF(C100:D121,B101)</f>
        <v>1</v>
      </c>
      <c r="M101">
        <f>SUM(L112)</f>
        <v>3</v>
      </c>
      <c r="N101">
        <f t="shared" ref="N101:AA102" si="78">SUM(M112)</f>
        <v>5</v>
      </c>
      <c r="O101">
        <f t="shared" si="78"/>
        <v>13</v>
      </c>
      <c r="P101">
        <f t="shared" si="78"/>
        <v>27</v>
      </c>
      <c r="Q101">
        <f t="shared" si="78"/>
        <v>66</v>
      </c>
      <c r="R101">
        <f t="shared" si="78"/>
        <v>148</v>
      </c>
      <c r="S101">
        <f t="shared" si="78"/>
        <v>354</v>
      </c>
      <c r="T101">
        <f t="shared" si="78"/>
        <v>817</v>
      </c>
      <c r="U101">
        <f t="shared" si="78"/>
        <v>1938</v>
      </c>
      <c r="V101">
        <f t="shared" si="78"/>
        <v>4533</v>
      </c>
      <c r="W101">
        <f t="shared" si="78"/>
        <v>10718</v>
      </c>
      <c r="X101">
        <f t="shared" si="78"/>
        <v>25269</v>
      </c>
      <c r="Y101">
        <f t="shared" si="78"/>
        <v>59695</v>
      </c>
      <c r="Z101">
        <f t="shared" si="78"/>
        <v>141530</v>
      </c>
      <c r="AA101">
        <f t="shared" si="78"/>
        <v>334475</v>
      </c>
    </row>
    <row r="102" spans="1:27" x14ac:dyDescent="0.25">
      <c r="B102">
        <v>2</v>
      </c>
      <c r="C102">
        <v>2</v>
      </c>
      <c r="D102">
        <v>13</v>
      </c>
      <c r="E102">
        <v>16</v>
      </c>
      <c r="F102" t="s">
        <v>39</v>
      </c>
      <c r="G102" t="s">
        <v>23</v>
      </c>
      <c r="H102">
        <v>1</v>
      </c>
      <c r="I102">
        <v>8</v>
      </c>
      <c r="J102">
        <v>13</v>
      </c>
      <c r="K102" t="s">
        <v>305</v>
      </c>
      <c r="L102">
        <f>COUNTIF(C100:D121,B102)</f>
        <v>1</v>
      </c>
      <c r="M102">
        <f>SUM(L113)</f>
        <v>3</v>
      </c>
      <c r="N102">
        <f t="shared" si="78"/>
        <v>6</v>
      </c>
      <c r="O102">
        <f t="shared" si="78"/>
        <v>14</v>
      </c>
      <c r="P102">
        <f t="shared" si="78"/>
        <v>31</v>
      </c>
      <c r="Q102">
        <f t="shared" si="78"/>
        <v>69</v>
      </c>
      <c r="R102">
        <f t="shared" si="78"/>
        <v>157</v>
      </c>
      <c r="S102">
        <f t="shared" si="78"/>
        <v>349</v>
      </c>
      <c r="T102">
        <f t="shared" si="78"/>
        <v>803</v>
      </c>
      <c r="U102">
        <f t="shared" si="78"/>
        <v>1802</v>
      </c>
      <c r="V102">
        <f t="shared" si="78"/>
        <v>4173</v>
      </c>
      <c r="W102">
        <f t="shared" si="78"/>
        <v>9471</v>
      </c>
      <c r="X102">
        <f t="shared" si="78"/>
        <v>22035</v>
      </c>
      <c r="Y102">
        <f t="shared" si="78"/>
        <v>50552</v>
      </c>
      <c r="Z102">
        <f t="shared" si="78"/>
        <v>118058</v>
      </c>
      <c r="AA102">
        <f t="shared" si="78"/>
        <v>273462</v>
      </c>
    </row>
    <row r="103" spans="1:27" x14ac:dyDescent="0.25">
      <c r="B103">
        <v>3</v>
      </c>
      <c r="C103">
        <v>3</v>
      </c>
      <c r="D103">
        <v>6</v>
      </c>
      <c r="E103">
        <v>9</v>
      </c>
      <c r="F103" t="s">
        <v>255</v>
      </c>
      <c r="G103" t="s">
        <v>21</v>
      </c>
      <c r="H103">
        <v>1</v>
      </c>
      <c r="I103">
        <v>7</v>
      </c>
      <c r="J103" t="s">
        <v>306</v>
      </c>
      <c r="K103" t="s">
        <v>307</v>
      </c>
      <c r="L103">
        <f>COUNTIF(C100:D121,B103)</f>
        <v>2</v>
      </c>
      <c r="M103">
        <f>SUM(L106,L113)</f>
        <v>6</v>
      </c>
      <c r="N103">
        <f t="shared" ref="N103:AA103" si="79">SUM(M106,M113)</f>
        <v>13</v>
      </c>
      <c r="O103">
        <f t="shared" si="79"/>
        <v>31</v>
      </c>
      <c r="P103">
        <f t="shared" si="79"/>
        <v>71</v>
      </c>
      <c r="Q103">
        <f t="shared" si="79"/>
        <v>163</v>
      </c>
      <c r="R103">
        <f t="shared" si="79"/>
        <v>379</v>
      </c>
      <c r="S103">
        <f t="shared" si="79"/>
        <v>870</v>
      </c>
      <c r="T103">
        <f t="shared" si="79"/>
        <v>2033</v>
      </c>
      <c r="U103">
        <f t="shared" si="79"/>
        <v>4701</v>
      </c>
      <c r="V103">
        <f t="shared" si="79"/>
        <v>11015</v>
      </c>
      <c r="W103">
        <f t="shared" si="79"/>
        <v>25674</v>
      </c>
      <c r="X103">
        <f t="shared" si="79"/>
        <v>60294</v>
      </c>
      <c r="Y103">
        <f t="shared" si="79"/>
        <v>141544</v>
      </c>
      <c r="Z103">
        <f t="shared" si="79"/>
        <v>333143</v>
      </c>
      <c r="AA103">
        <f t="shared" si="79"/>
        <v>786878</v>
      </c>
    </row>
    <row r="104" spans="1:27" x14ac:dyDescent="0.25">
      <c r="B104">
        <v>4</v>
      </c>
      <c r="C104">
        <v>3</v>
      </c>
      <c r="D104">
        <v>13</v>
      </c>
      <c r="E104">
        <v>7</v>
      </c>
      <c r="F104" t="s">
        <v>255</v>
      </c>
      <c r="G104" t="s">
        <v>21</v>
      </c>
      <c r="H104">
        <v>1</v>
      </c>
      <c r="I104">
        <v>7</v>
      </c>
      <c r="J104" t="s">
        <v>308</v>
      </c>
      <c r="K104" t="s">
        <v>309</v>
      </c>
      <c r="L104">
        <f>COUNTIF(C100:D121,B104)</f>
        <v>2</v>
      </c>
      <c r="M104">
        <f>SUM(L109,L110)</f>
        <v>5</v>
      </c>
      <c r="N104">
        <f t="shared" ref="N104:AA104" si="80">SUM(M109,M110)</f>
        <v>12</v>
      </c>
      <c r="O104">
        <f t="shared" si="80"/>
        <v>30</v>
      </c>
      <c r="P104">
        <f t="shared" si="80"/>
        <v>73</v>
      </c>
      <c r="Q104">
        <f t="shared" si="80"/>
        <v>181</v>
      </c>
      <c r="R104">
        <f t="shared" si="80"/>
        <v>439</v>
      </c>
      <c r="S104">
        <f t="shared" si="80"/>
        <v>1083</v>
      </c>
      <c r="T104">
        <f t="shared" si="80"/>
        <v>2617</v>
      </c>
      <c r="U104">
        <f t="shared" si="80"/>
        <v>6434</v>
      </c>
      <c r="V104">
        <f t="shared" si="80"/>
        <v>15513</v>
      </c>
      <c r="W104">
        <f t="shared" si="80"/>
        <v>38033</v>
      </c>
      <c r="X104">
        <f t="shared" si="80"/>
        <v>91605</v>
      </c>
      <c r="Y104">
        <f t="shared" si="80"/>
        <v>224042</v>
      </c>
      <c r="Z104">
        <f t="shared" si="80"/>
        <v>539416</v>
      </c>
      <c r="AA104">
        <f t="shared" si="80"/>
        <v>1316482</v>
      </c>
    </row>
    <row r="105" spans="1:27" x14ac:dyDescent="0.25">
      <c r="B105">
        <v>5</v>
      </c>
      <c r="C105">
        <v>4</v>
      </c>
      <c r="D105">
        <v>9</v>
      </c>
      <c r="E105">
        <v>5</v>
      </c>
      <c r="F105" t="s">
        <v>16</v>
      </c>
      <c r="G105" t="s">
        <v>12</v>
      </c>
      <c r="H105">
        <v>1</v>
      </c>
      <c r="I105">
        <v>6</v>
      </c>
      <c r="J105" t="s">
        <v>310</v>
      </c>
      <c r="K105" t="s">
        <v>311</v>
      </c>
      <c r="L105">
        <f>COUNTIF(C100:D121,B105)</f>
        <v>2</v>
      </c>
      <c r="M105">
        <f>SUM(L106,L107)</f>
        <v>6</v>
      </c>
      <c r="N105">
        <f t="shared" ref="N105:AA105" si="81">SUM(M106,M107)</f>
        <v>14</v>
      </c>
      <c r="O105">
        <f t="shared" si="81"/>
        <v>36</v>
      </c>
      <c r="P105">
        <f t="shared" si="81"/>
        <v>85</v>
      </c>
      <c r="Q105">
        <f t="shared" si="81"/>
        <v>210</v>
      </c>
      <c r="R105">
        <f t="shared" si="81"/>
        <v>497</v>
      </c>
      <c r="S105">
        <f t="shared" si="81"/>
        <v>1212</v>
      </c>
      <c r="T105">
        <f t="shared" si="81"/>
        <v>2871</v>
      </c>
      <c r="U105">
        <f t="shared" si="81"/>
        <v>6969</v>
      </c>
      <c r="V105">
        <f t="shared" si="81"/>
        <v>16526</v>
      </c>
      <c r="W105">
        <f t="shared" si="81"/>
        <v>40049</v>
      </c>
      <c r="X105">
        <f t="shared" si="81"/>
        <v>95096</v>
      </c>
      <c r="Y105">
        <f t="shared" si="81"/>
        <v>230342</v>
      </c>
      <c r="Z105">
        <f t="shared" si="81"/>
        <v>547724</v>
      </c>
      <c r="AA105">
        <f t="shared" si="81"/>
        <v>1326640</v>
      </c>
    </row>
    <row r="106" spans="1:27" x14ac:dyDescent="0.25">
      <c r="B106">
        <v>6</v>
      </c>
      <c r="C106">
        <v>4</v>
      </c>
      <c r="D106">
        <v>10</v>
      </c>
      <c r="E106">
        <v>4</v>
      </c>
      <c r="F106" t="s">
        <v>16</v>
      </c>
      <c r="G106" t="s">
        <v>12</v>
      </c>
      <c r="H106">
        <v>1</v>
      </c>
      <c r="I106">
        <v>6</v>
      </c>
      <c r="J106" t="s">
        <v>312</v>
      </c>
      <c r="K106" t="s">
        <v>313</v>
      </c>
      <c r="L106">
        <f>COUNTIF(C100:D121,B106)</f>
        <v>3</v>
      </c>
      <c r="M106">
        <f>SUM(L103,L105,L112)</f>
        <v>7</v>
      </c>
      <c r="N106">
        <f t="shared" ref="N106:AA106" si="82">SUM(M103,M105,M112)</f>
        <v>17</v>
      </c>
      <c r="O106">
        <f t="shared" si="82"/>
        <v>40</v>
      </c>
      <c r="P106">
        <f t="shared" si="82"/>
        <v>94</v>
      </c>
      <c r="Q106">
        <f t="shared" si="82"/>
        <v>222</v>
      </c>
      <c r="R106">
        <f t="shared" si="82"/>
        <v>521</v>
      </c>
      <c r="S106">
        <f t="shared" si="82"/>
        <v>1230</v>
      </c>
      <c r="T106">
        <f t="shared" si="82"/>
        <v>2899</v>
      </c>
      <c r="U106">
        <f t="shared" si="82"/>
        <v>6842</v>
      </c>
      <c r="V106">
        <f t="shared" si="82"/>
        <v>16203</v>
      </c>
      <c r="W106">
        <f t="shared" si="82"/>
        <v>38259</v>
      </c>
      <c r="X106">
        <f t="shared" si="82"/>
        <v>90992</v>
      </c>
      <c r="Y106">
        <f t="shared" si="82"/>
        <v>215085</v>
      </c>
      <c r="Z106">
        <f t="shared" si="82"/>
        <v>513416</v>
      </c>
      <c r="AA106">
        <f t="shared" si="82"/>
        <v>1215342</v>
      </c>
    </row>
    <row r="107" spans="1:27" x14ac:dyDescent="0.25">
      <c r="B107">
        <v>7</v>
      </c>
      <c r="C107">
        <v>5</v>
      </c>
      <c r="D107">
        <v>6</v>
      </c>
      <c r="E107">
        <v>1</v>
      </c>
      <c r="F107" t="s">
        <v>16</v>
      </c>
      <c r="G107" t="s">
        <v>12</v>
      </c>
      <c r="H107">
        <v>1</v>
      </c>
      <c r="I107">
        <v>6</v>
      </c>
      <c r="J107" t="s">
        <v>314</v>
      </c>
      <c r="K107" t="s">
        <v>315</v>
      </c>
      <c r="L107">
        <f>COUNTIF(C100:D121,B107)</f>
        <v>3</v>
      </c>
      <c r="M107">
        <f>SUM(L105,L108,L110)</f>
        <v>7</v>
      </c>
      <c r="N107">
        <f t="shared" ref="N107:AA107" si="83">SUM(M105,M108,M110)</f>
        <v>19</v>
      </c>
      <c r="O107">
        <f t="shared" si="83"/>
        <v>45</v>
      </c>
      <c r="P107">
        <f t="shared" si="83"/>
        <v>116</v>
      </c>
      <c r="Q107">
        <f t="shared" si="83"/>
        <v>275</v>
      </c>
      <c r="R107">
        <f t="shared" si="83"/>
        <v>691</v>
      </c>
      <c r="S107">
        <f t="shared" si="83"/>
        <v>1641</v>
      </c>
      <c r="T107">
        <f t="shared" si="83"/>
        <v>4070</v>
      </c>
      <c r="U107">
        <f t="shared" si="83"/>
        <v>9684</v>
      </c>
      <c r="V107">
        <f t="shared" si="83"/>
        <v>23846</v>
      </c>
      <c r="W107">
        <f t="shared" si="83"/>
        <v>56837</v>
      </c>
      <c r="X107">
        <f t="shared" si="83"/>
        <v>139350</v>
      </c>
      <c r="Y107">
        <f t="shared" si="83"/>
        <v>332639</v>
      </c>
      <c r="Z107">
        <f t="shared" si="83"/>
        <v>813224</v>
      </c>
      <c r="AA107">
        <f t="shared" si="83"/>
        <v>1943705</v>
      </c>
    </row>
    <row r="108" spans="1:27" x14ac:dyDescent="0.25">
      <c r="B108">
        <v>8</v>
      </c>
      <c r="C108">
        <v>5</v>
      </c>
      <c r="D108">
        <v>7</v>
      </c>
      <c r="E108">
        <v>2</v>
      </c>
      <c r="F108" t="s">
        <v>16</v>
      </c>
      <c r="G108" t="s">
        <v>12</v>
      </c>
      <c r="H108">
        <v>1</v>
      </c>
      <c r="I108">
        <v>6</v>
      </c>
      <c r="J108" t="s">
        <v>316</v>
      </c>
      <c r="K108" t="s">
        <v>317</v>
      </c>
      <c r="L108">
        <f>COUNTIF(C100:D121,B108)</f>
        <v>3</v>
      </c>
      <c r="M108">
        <f>SUM(L107,L109,L111)</f>
        <v>8</v>
      </c>
      <c r="N108">
        <f t="shared" ref="N108:AA108" si="84">SUM(M107,M109,M111)</f>
        <v>19</v>
      </c>
      <c r="O108">
        <f t="shared" si="84"/>
        <v>49</v>
      </c>
      <c r="P108">
        <f t="shared" si="84"/>
        <v>115</v>
      </c>
      <c r="Q108">
        <f t="shared" si="84"/>
        <v>292</v>
      </c>
      <c r="R108">
        <f t="shared" si="84"/>
        <v>688</v>
      </c>
      <c r="S108">
        <f t="shared" si="84"/>
        <v>1728</v>
      </c>
      <c r="T108">
        <f t="shared" si="84"/>
        <v>4089</v>
      </c>
      <c r="U108">
        <f t="shared" si="84"/>
        <v>10190</v>
      </c>
      <c r="V108">
        <f t="shared" si="84"/>
        <v>24193</v>
      </c>
      <c r="W108">
        <f t="shared" si="84"/>
        <v>59942</v>
      </c>
      <c r="X108">
        <f t="shared" si="84"/>
        <v>142673</v>
      </c>
      <c r="Y108">
        <f t="shared" si="84"/>
        <v>351927</v>
      </c>
      <c r="Z108">
        <f t="shared" si="84"/>
        <v>839300</v>
      </c>
      <c r="AA108">
        <f t="shared" si="84"/>
        <v>2063017</v>
      </c>
    </row>
    <row r="109" spans="1:27" x14ac:dyDescent="0.25">
      <c r="B109">
        <v>9</v>
      </c>
      <c r="C109">
        <v>6</v>
      </c>
      <c r="D109">
        <v>12</v>
      </c>
      <c r="E109">
        <v>3</v>
      </c>
      <c r="F109" t="s">
        <v>16</v>
      </c>
      <c r="G109" t="s">
        <v>12</v>
      </c>
      <c r="H109">
        <v>1</v>
      </c>
      <c r="I109">
        <v>6</v>
      </c>
      <c r="J109" t="s">
        <v>318</v>
      </c>
      <c r="K109" t="s">
        <v>319</v>
      </c>
      <c r="L109">
        <f>COUNTIF(C100:D121,B109)</f>
        <v>3</v>
      </c>
      <c r="M109">
        <f>SUM(L104,L108,L115)</f>
        <v>7</v>
      </c>
      <c r="N109">
        <f t="shared" ref="N109:AA109" si="85">SUM(M104,M108,M115)</f>
        <v>18</v>
      </c>
      <c r="O109">
        <f t="shared" si="85"/>
        <v>42</v>
      </c>
      <c r="P109">
        <f t="shared" si="85"/>
        <v>106</v>
      </c>
      <c r="Q109">
        <f t="shared" si="85"/>
        <v>250</v>
      </c>
      <c r="R109">
        <f t="shared" si="85"/>
        <v>627</v>
      </c>
      <c r="S109">
        <f t="shared" si="85"/>
        <v>1487</v>
      </c>
      <c r="T109">
        <f t="shared" si="85"/>
        <v>3710</v>
      </c>
      <c r="U109">
        <f t="shared" si="85"/>
        <v>8826</v>
      </c>
      <c r="V109">
        <f t="shared" si="85"/>
        <v>21915</v>
      </c>
      <c r="W109">
        <f t="shared" si="85"/>
        <v>52246</v>
      </c>
      <c r="X109">
        <f t="shared" si="85"/>
        <v>129172</v>
      </c>
      <c r="Y109">
        <f t="shared" si="85"/>
        <v>308461</v>
      </c>
      <c r="Z109">
        <f t="shared" si="85"/>
        <v>759801</v>
      </c>
      <c r="AA109">
        <f t="shared" si="85"/>
        <v>1816887</v>
      </c>
    </row>
    <row r="110" spans="1:27" x14ac:dyDescent="0.25">
      <c r="B110">
        <v>10</v>
      </c>
      <c r="C110">
        <v>7</v>
      </c>
      <c r="D110">
        <v>8</v>
      </c>
      <c r="E110">
        <v>6</v>
      </c>
      <c r="F110" t="s">
        <v>16</v>
      </c>
      <c r="G110" t="s">
        <v>12</v>
      </c>
      <c r="H110">
        <v>1</v>
      </c>
      <c r="I110">
        <v>6</v>
      </c>
      <c r="J110" t="s">
        <v>320</v>
      </c>
      <c r="K110" t="s">
        <v>321</v>
      </c>
      <c r="L110">
        <f>COUNTIF(C100:D121,B110)</f>
        <v>2</v>
      </c>
      <c r="M110">
        <f>SUM(L104,L107)</f>
        <v>5</v>
      </c>
      <c r="N110">
        <f t="shared" ref="N110:AA110" si="86">SUM(M104,M107)</f>
        <v>12</v>
      </c>
      <c r="O110">
        <f t="shared" si="86"/>
        <v>31</v>
      </c>
      <c r="P110">
        <f t="shared" si="86"/>
        <v>75</v>
      </c>
      <c r="Q110">
        <f t="shared" si="86"/>
        <v>189</v>
      </c>
      <c r="R110">
        <f t="shared" si="86"/>
        <v>456</v>
      </c>
      <c r="S110">
        <f t="shared" si="86"/>
        <v>1130</v>
      </c>
      <c r="T110">
        <f t="shared" si="86"/>
        <v>2724</v>
      </c>
      <c r="U110">
        <f t="shared" si="86"/>
        <v>6687</v>
      </c>
      <c r="V110">
        <f t="shared" si="86"/>
        <v>16118</v>
      </c>
      <c r="W110">
        <f t="shared" si="86"/>
        <v>39359</v>
      </c>
      <c r="X110">
        <f t="shared" si="86"/>
        <v>94870</v>
      </c>
      <c r="Y110">
        <f t="shared" si="86"/>
        <v>230955</v>
      </c>
      <c r="Z110">
        <f t="shared" si="86"/>
        <v>556681</v>
      </c>
      <c r="AA110">
        <f t="shared" si="86"/>
        <v>1352640</v>
      </c>
    </row>
    <row r="111" spans="1:27" x14ac:dyDescent="0.25">
      <c r="B111">
        <v>11</v>
      </c>
      <c r="C111">
        <v>7</v>
      </c>
      <c r="D111">
        <v>10</v>
      </c>
      <c r="E111">
        <v>8</v>
      </c>
      <c r="F111" t="s">
        <v>16</v>
      </c>
      <c r="G111" t="s">
        <v>12</v>
      </c>
      <c r="H111">
        <v>1</v>
      </c>
      <c r="I111">
        <v>6</v>
      </c>
      <c r="J111" t="s">
        <v>322</v>
      </c>
      <c r="K111" t="s">
        <v>323</v>
      </c>
      <c r="L111">
        <f>COUNTIF(C100:D121,B111)</f>
        <v>2</v>
      </c>
      <c r="M111">
        <f>SUM(L108,L116)</f>
        <v>5</v>
      </c>
      <c r="N111">
        <f t="shared" ref="N111:AA111" si="87">SUM(M108,M116)</f>
        <v>12</v>
      </c>
      <c r="O111">
        <f t="shared" si="87"/>
        <v>28</v>
      </c>
      <c r="P111">
        <f t="shared" si="87"/>
        <v>70</v>
      </c>
      <c r="Q111">
        <f t="shared" si="87"/>
        <v>163</v>
      </c>
      <c r="R111">
        <f t="shared" si="87"/>
        <v>410</v>
      </c>
      <c r="S111">
        <f t="shared" si="87"/>
        <v>961</v>
      </c>
      <c r="T111">
        <f t="shared" si="87"/>
        <v>2410</v>
      </c>
      <c r="U111">
        <f t="shared" si="87"/>
        <v>5683</v>
      </c>
      <c r="V111">
        <f t="shared" si="87"/>
        <v>14181</v>
      </c>
      <c r="W111">
        <f t="shared" si="87"/>
        <v>33590</v>
      </c>
      <c r="X111">
        <f t="shared" si="87"/>
        <v>83405</v>
      </c>
      <c r="Y111">
        <f t="shared" si="87"/>
        <v>198200</v>
      </c>
      <c r="Z111">
        <f t="shared" si="87"/>
        <v>489992</v>
      </c>
      <c r="AA111">
        <f t="shared" si="87"/>
        <v>1167210</v>
      </c>
    </row>
    <row r="112" spans="1:27" x14ac:dyDescent="0.25">
      <c r="B112">
        <v>12</v>
      </c>
      <c r="C112">
        <v>8</v>
      </c>
      <c r="D112">
        <v>9</v>
      </c>
      <c r="E112">
        <v>11</v>
      </c>
      <c r="F112" t="s">
        <v>16</v>
      </c>
      <c r="G112" t="s">
        <v>12</v>
      </c>
      <c r="H112">
        <v>1</v>
      </c>
      <c r="I112">
        <v>6</v>
      </c>
      <c r="J112" t="s">
        <v>324</v>
      </c>
      <c r="K112" t="s">
        <v>325</v>
      </c>
      <c r="L112">
        <f>COUNTIF(C100:D121,B112)</f>
        <v>3</v>
      </c>
      <c r="M112">
        <f>SUM(L101,L106,L119)</f>
        <v>5</v>
      </c>
      <c r="N112">
        <f t="shared" ref="N112:AA112" si="88">SUM(M101,M106,M119)</f>
        <v>13</v>
      </c>
      <c r="O112">
        <f t="shared" si="88"/>
        <v>27</v>
      </c>
      <c r="P112">
        <f t="shared" si="88"/>
        <v>66</v>
      </c>
      <c r="Q112">
        <f t="shared" si="88"/>
        <v>148</v>
      </c>
      <c r="R112">
        <f t="shared" si="88"/>
        <v>354</v>
      </c>
      <c r="S112">
        <f t="shared" si="88"/>
        <v>817</v>
      </c>
      <c r="T112">
        <f t="shared" si="88"/>
        <v>1938</v>
      </c>
      <c r="U112">
        <f t="shared" si="88"/>
        <v>4533</v>
      </c>
      <c r="V112">
        <f t="shared" si="88"/>
        <v>10718</v>
      </c>
      <c r="W112">
        <f t="shared" si="88"/>
        <v>25269</v>
      </c>
      <c r="X112">
        <f t="shared" si="88"/>
        <v>59695</v>
      </c>
      <c r="Y112">
        <f t="shared" si="88"/>
        <v>141530</v>
      </c>
      <c r="Z112">
        <f t="shared" si="88"/>
        <v>334475</v>
      </c>
      <c r="AA112">
        <f t="shared" si="88"/>
        <v>796476</v>
      </c>
    </row>
    <row r="113" spans="1:27" x14ac:dyDescent="0.25">
      <c r="B113">
        <v>13</v>
      </c>
      <c r="C113">
        <v>8</v>
      </c>
      <c r="D113">
        <v>11</v>
      </c>
      <c r="E113">
        <v>12</v>
      </c>
      <c r="F113" t="s">
        <v>16</v>
      </c>
      <c r="G113" t="s">
        <v>12</v>
      </c>
      <c r="H113">
        <v>1</v>
      </c>
      <c r="I113">
        <v>6</v>
      </c>
      <c r="J113" t="s">
        <v>326</v>
      </c>
      <c r="K113" t="s">
        <v>327</v>
      </c>
      <c r="L113">
        <f>COUNTIF(C100:D121,B113)</f>
        <v>3</v>
      </c>
      <c r="M113">
        <f>SUM(L102,L103,L114)</f>
        <v>6</v>
      </c>
      <c r="N113">
        <f t="shared" ref="N113:AA113" si="89">SUM(M102,M103,M114)</f>
        <v>14</v>
      </c>
      <c r="O113">
        <f t="shared" si="89"/>
        <v>31</v>
      </c>
      <c r="P113">
        <f t="shared" si="89"/>
        <v>69</v>
      </c>
      <c r="Q113">
        <f t="shared" si="89"/>
        <v>157</v>
      </c>
      <c r="R113">
        <f t="shared" si="89"/>
        <v>349</v>
      </c>
      <c r="S113">
        <f t="shared" si="89"/>
        <v>803</v>
      </c>
      <c r="T113">
        <f t="shared" si="89"/>
        <v>1802</v>
      </c>
      <c r="U113">
        <f t="shared" si="89"/>
        <v>4173</v>
      </c>
      <c r="V113">
        <f t="shared" si="89"/>
        <v>9471</v>
      </c>
      <c r="W113">
        <f t="shared" si="89"/>
        <v>22035</v>
      </c>
      <c r="X113">
        <f t="shared" si="89"/>
        <v>50552</v>
      </c>
      <c r="Y113">
        <f t="shared" si="89"/>
        <v>118058</v>
      </c>
      <c r="Z113">
        <f t="shared" si="89"/>
        <v>273462</v>
      </c>
      <c r="AA113">
        <f t="shared" si="89"/>
        <v>640717</v>
      </c>
    </row>
    <row r="114" spans="1:27" x14ac:dyDescent="0.25">
      <c r="B114">
        <v>14</v>
      </c>
      <c r="C114">
        <v>9</v>
      </c>
      <c r="D114">
        <v>15</v>
      </c>
      <c r="E114">
        <v>15</v>
      </c>
      <c r="F114" t="s">
        <v>16</v>
      </c>
      <c r="G114" t="s">
        <v>12</v>
      </c>
      <c r="H114">
        <v>1</v>
      </c>
      <c r="I114">
        <v>6</v>
      </c>
      <c r="J114" t="s">
        <v>328</v>
      </c>
      <c r="K114" t="s">
        <v>329</v>
      </c>
      <c r="L114">
        <f>COUNTIF(C100:D121,B114)</f>
        <v>3</v>
      </c>
      <c r="M114">
        <f>SUM(L113,L118,L120)</f>
        <v>5</v>
      </c>
      <c r="N114">
        <f t="shared" ref="N114:AA114" si="90">SUM(M113,M118,M120)</f>
        <v>12</v>
      </c>
      <c r="O114">
        <f t="shared" si="90"/>
        <v>24</v>
      </c>
      <c r="P114">
        <f t="shared" si="90"/>
        <v>55</v>
      </c>
      <c r="Q114">
        <f t="shared" si="90"/>
        <v>117</v>
      </c>
      <c r="R114">
        <f t="shared" si="90"/>
        <v>267</v>
      </c>
      <c r="S114">
        <f t="shared" si="90"/>
        <v>583</v>
      </c>
      <c r="T114">
        <f t="shared" si="90"/>
        <v>1337</v>
      </c>
      <c r="U114">
        <f t="shared" si="90"/>
        <v>2968</v>
      </c>
      <c r="V114">
        <f t="shared" si="90"/>
        <v>6847</v>
      </c>
      <c r="W114">
        <f t="shared" si="90"/>
        <v>15407</v>
      </c>
      <c r="X114">
        <f t="shared" si="90"/>
        <v>35729</v>
      </c>
      <c r="Y114">
        <f t="shared" si="90"/>
        <v>81366</v>
      </c>
      <c r="Z114">
        <f t="shared" si="90"/>
        <v>189516</v>
      </c>
      <c r="AA114">
        <f t="shared" si="90"/>
        <v>436194</v>
      </c>
    </row>
    <row r="115" spans="1:27" x14ac:dyDescent="0.25">
      <c r="B115">
        <v>15</v>
      </c>
      <c r="C115">
        <v>11</v>
      </c>
      <c r="D115">
        <v>16</v>
      </c>
      <c r="E115">
        <v>10</v>
      </c>
      <c r="F115" t="s">
        <v>16</v>
      </c>
      <c r="G115" t="s">
        <v>12</v>
      </c>
      <c r="H115">
        <v>1</v>
      </c>
      <c r="I115">
        <v>6</v>
      </c>
      <c r="J115" t="s">
        <v>330</v>
      </c>
      <c r="K115" t="s">
        <v>331</v>
      </c>
      <c r="L115">
        <f>COUNTIF(C100:D121,B115)</f>
        <v>2</v>
      </c>
      <c r="M115">
        <f>SUM(L109,L117)</f>
        <v>5</v>
      </c>
      <c r="N115">
        <f t="shared" ref="N115:AA115" si="91">SUM(M109,M117)</f>
        <v>11</v>
      </c>
      <c r="O115">
        <f t="shared" si="91"/>
        <v>27</v>
      </c>
      <c r="P115">
        <f t="shared" si="91"/>
        <v>62</v>
      </c>
      <c r="Q115">
        <f t="shared" si="91"/>
        <v>154</v>
      </c>
      <c r="R115">
        <f t="shared" si="91"/>
        <v>360</v>
      </c>
      <c r="S115">
        <f t="shared" si="91"/>
        <v>899</v>
      </c>
      <c r="T115">
        <f t="shared" si="91"/>
        <v>2120</v>
      </c>
      <c r="U115">
        <f t="shared" si="91"/>
        <v>5291</v>
      </c>
      <c r="V115">
        <f t="shared" si="91"/>
        <v>12540</v>
      </c>
      <c r="W115">
        <f t="shared" si="91"/>
        <v>31197</v>
      </c>
      <c r="X115">
        <f t="shared" si="91"/>
        <v>74183</v>
      </c>
      <c r="Y115">
        <f t="shared" si="91"/>
        <v>183832</v>
      </c>
      <c r="Z115">
        <f t="shared" si="91"/>
        <v>438171</v>
      </c>
      <c r="AA115">
        <f t="shared" si="91"/>
        <v>1081698</v>
      </c>
    </row>
    <row r="116" spans="1:27" x14ac:dyDescent="0.25">
      <c r="B116">
        <v>16</v>
      </c>
      <c r="C116">
        <v>12</v>
      </c>
      <c r="D116">
        <v>19</v>
      </c>
      <c r="E116">
        <v>13</v>
      </c>
      <c r="F116" t="s">
        <v>16</v>
      </c>
      <c r="G116" t="s">
        <v>12</v>
      </c>
      <c r="H116">
        <v>1</v>
      </c>
      <c r="I116">
        <v>6</v>
      </c>
      <c r="J116" t="s">
        <v>332</v>
      </c>
      <c r="K116" t="s">
        <v>333</v>
      </c>
      <c r="L116">
        <f>COUNTIF(C100:D121,B116)</f>
        <v>2</v>
      </c>
      <c r="M116">
        <f>SUM(L111,L117)</f>
        <v>4</v>
      </c>
      <c r="N116">
        <f t="shared" ref="N116:AA116" si="92">SUM(M111,M117)</f>
        <v>9</v>
      </c>
      <c r="O116">
        <f t="shared" si="92"/>
        <v>21</v>
      </c>
      <c r="P116">
        <f t="shared" si="92"/>
        <v>48</v>
      </c>
      <c r="Q116">
        <f t="shared" si="92"/>
        <v>118</v>
      </c>
      <c r="R116">
        <f t="shared" si="92"/>
        <v>273</v>
      </c>
      <c r="S116">
        <f t="shared" si="92"/>
        <v>682</v>
      </c>
      <c r="T116">
        <f t="shared" si="92"/>
        <v>1594</v>
      </c>
      <c r="U116">
        <f t="shared" si="92"/>
        <v>3991</v>
      </c>
      <c r="V116">
        <f t="shared" si="92"/>
        <v>9397</v>
      </c>
      <c r="W116">
        <f t="shared" si="92"/>
        <v>23463</v>
      </c>
      <c r="X116">
        <f t="shared" si="92"/>
        <v>55527</v>
      </c>
      <c r="Y116">
        <f t="shared" si="92"/>
        <v>138065</v>
      </c>
      <c r="Z116">
        <f t="shared" si="92"/>
        <v>327910</v>
      </c>
      <c r="AA116">
        <f t="shared" si="92"/>
        <v>811889</v>
      </c>
    </row>
    <row r="117" spans="1:27" x14ac:dyDescent="0.25">
      <c r="B117">
        <v>17</v>
      </c>
      <c r="C117">
        <v>13</v>
      </c>
      <c r="D117">
        <v>14</v>
      </c>
      <c r="E117">
        <v>14</v>
      </c>
      <c r="F117" t="s">
        <v>16</v>
      </c>
      <c r="G117" t="s">
        <v>12</v>
      </c>
      <c r="H117">
        <v>1</v>
      </c>
      <c r="I117">
        <v>6</v>
      </c>
      <c r="J117" t="s">
        <v>334</v>
      </c>
      <c r="K117" t="s">
        <v>335</v>
      </c>
      <c r="L117">
        <f>COUNTIF(C100:D121,B117)</f>
        <v>2</v>
      </c>
      <c r="M117">
        <f>SUM(L115,L116)</f>
        <v>4</v>
      </c>
      <c r="N117">
        <f t="shared" ref="N117:AA117" si="93">SUM(M115,M116)</f>
        <v>9</v>
      </c>
      <c r="O117">
        <f t="shared" si="93"/>
        <v>20</v>
      </c>
      <c r="P117">
        <f t="shared" si="93"/>
        <v>48</v>
      </c>
      <c r="Q117">
        <f t="shared" si="93"/>
        <v>110</v>
      </c>
      <c r="R117">
        <f t="shared" si="93"/>
        <v>272</v>
      </c>
      <c r="S117">
        <f t="shared" si="93"/>
        <v>633</v>
      </c>
      <c r="T117">
        <f t="shared" si="93"/>
        <v>1581</v>
      </c>
      <c r="U117">
        <f t="shared" si="93"/>
        <v>3714</v>
      </c>
      <c r="V117">
        <f t="shared" si="93"/>
        <v>9282</v>
      </c>
      <c r="W117">
        <f t="shared" si="93"/>
        <v>21937</v>
      </c>
      <c r="X117">
        <f t="shared" si="93"/>
        <v>54660</v>
      </c>
      <c r="Y117">
        <f t="shared" si="93"/>
        <v>129710</v>
      </c>
      <c r="Z117">
        <f t="shared" si="93"/>
        <v>321897</v>
      </c>
      <c r="AA117">
        <f t="shared" si="93"/>
        <v>766081</v>
      </c>
    </row>
    <row r="118" spans="1:27" x14ac:dyDescent="0.25">
      <c r="B118">
        <v>18</v>
      </c>
      <c r="C118">
        <v>14</v>
      </c>
      <c r="D118">
        <v>18</v>
      </c>
      <c r="E118">
        <v>20</v>
      </c>
      <c r="F118" t="s">
        <v>16</v>
      </c>
      <c r="G118" t="s">
        <v>12</v>
      </c>
      <c r="H118">
        <v>1</v>
      </c>
      <c r="I118">
        <v>6</v>
      </c>
      <c r="J118">
        <v>14</v>
      </c>
      <c r="K118" t="s">
        <v>336</v>
      </c>
      <c r="L118">
        <f>COUNTIF(C100:D121,B118)</f>
        <v>1</v>
      </c>
      <c r="M118">
        <f>SUM(L114)</f>
        <v>3</v>
      </c>
      <c r="N118">
        <f t="shared" ref="N118:AA118" si="94">SUM(M114)</f>
        <v>5</v>
      </c>
      <c r="O118">
        <f t="shared" si="94"/>
        <v>12</v>
      </c>
      <c r="P118">
        <f t="shared" si="94"/>
        <v>24</v>
      </c>
      <c r="Q118">
        <f t="shared" si="94"/>
        <v>55</v>
      </c>
      <c r="R118">
        <f t="shared" si="94"/>
        <v>117</v>
      </c>
      <c r="S118">
        <f t="shared" si="94"/>
        <v>267</v>
      </c>
      <c r="T118">
        <f t="shared" si="94"/>
        <v>583</v>
      </c>
      <c r="U118">
        <f t="shared" si="94"/>
        <v>1337</v>
      </c>
      <c r="V118">
        <f t="shared" si="94"/>
        <v>2968</v>
      </c>
      <c r="W118">
        <f t="shared" si="94"/>
        <v>6847</v>
      </c>
      <c r="X118">
        <f t="shared" si="94"/>
        <v>15407</v>
      </c>
      <c r="Y118">
        <f t="shared" si="94"/>
        <v>35729</v>
      </c>
      <c r="Z118">
        <f t="shared" si="94"/>
        <v>81366</v>
      </c>
      <c r="AA118">
        <f t="shared" si="94"/>
        <v>189516</v>
      </c>
    </row>
    <row r="119" spans="1:27" x14ac:dyDescent="0.25">
      <c r="B119">
        <v>19</v>
      </c>
      <c r="C119">
        <v>14</v>
      </c>
      <c r="D119">
        <v>20</v>
      </c>
      <c r="E119">
        <v>18</v>
      </c>
      <c r="F119" t="s">
        <v>39</v>
      </c>
      <c r="G119" t="s">
        <v>23</v>
      </c>
      <c r="H119">
        <v>1</v>
      </c>
      <c r="I119">
        <v>8</v>
      </c>
      <c r="J119">
        <v>12</v>
      </c>
      <c r="K119" t="s">
        <v>304</v>
      </c>
      <c r="L119">
        <f>COUNTIF(C100:D121,B119)</f>
        <v>1</v>
      </c>
      <c r="M119">
        <f>SUM(L112)</f>
        <v>3</v>
      </c>
      <c r="N119">
        <f t="shared" ref="N119:AA119" si="95">SUM(M112)</f>
        <v>5</v>
      </c>
      <c r="O119">
        <f t="shared" si="95"/>
        <v>13</v>
      </c>
      <c r="P119">
        <f t="shared" si="95"/>
        <v>27</v>
      </c>
      <c r="Q119">
        <f t="shared" si="95"/>
        <v>66</v>
      </c>
      <c r="R119">
        <f t="shared" si="95"/>
        <v>148</v>
      </c>
      <c r="S119">
        <f t="shared" si="95"/>
        <v>354</v>
      </c>
      <c r="T119">
        <f t="shared" si="95"/>
        <v>817</v>
      </c>
      <c r="U119">
        <f t="shared" si="95"/>
        <v>1938</v>
      </c>
      <c r="V119">
        <f t="shared" si="95"/>
        <v>4533</v>
      </c>
      <c r="W119">
        <f t="shared" si="95"/>
        <v>10718</v>
      </c>
      <c r="X119">
        <f t="shared" si="95"/>
        <v>25269</v>
      </c>
      <c r="Y119">
        <f t="shared" si="95"/>
        <v>59695</v>
      </c>
      <c r="Z119">
        <f t="shared" si="95"/>
        <v>141530</v>
      </c>
      <c r="AA119">
        <f t="shared" si="95"/>
        <v>334475</v>
      </c>
    </row>
    <row r="120" spans="1:27" x14ac:dyDescent="0.25">
      <c r="B120">
        <v>20</v>
      </c>
      <c r="C120">
        <v>15</v>
      </c>
      <c r="D120">
        <v>17</v>
      </c>
      <c r="E120">
        <v>19</v>
      </c>
      <c r="F120" t="s">
        <v>255</v>
      </c>
      <c r="G120" t="s">
        <v>21</v>
      </c>
      <c r="H120">
        <v>1</v>
      </c>
      <c r="I120">
        <v>7</v>
      </c>
      <c r="J120">
        <v>14</v>
      </c>
      <c r="K120" t="s">
        <v>336</v>
      </c>
      <c r="L120">
        <f>COUNTIF(C100:D121,B120)</f>
        <v>1</v>
      </c>
      <c r="M120">
        <f>SUM(L114)</f>
        <v>3</v>
      </c>
      <c r="N120">
        <f t="shared" ref="N120:AA120" si="96">SUM(M114)</f>
        <v>5</v>
      </c>
      <c r="O120">
        <f t="shared" si="96"/>
        <v>12</v>
      </c>
      <c r="P120">
        <f t="shared" si="96"/>
        <v>24</v>
      </c>
      <c r="Q120">
        <f t="shared" si="96"/>
        <v>55</v>
      </c>
      <c r="R120">
        <f t="shared" si="96"/>
        <v>117</v>
      </c>
      <c r="S120">
        <f t="shared" si="96"/>
        <v>267</v>
      </c>
      <c r="T120">
        <f t="shared" si="96"/>
        <v>583</v>
      </c>
      <c r="U120">
        <f t="shared" si="96"/>
        <v>1337</v>
      </c>
      <c r="V120">
        <f t="shared" si="96"/>
        <v>2968</v>
      </c>
      <c r="W120">
        <f t="shared" si="96"/>
        <v>6847</v>
      </c>
      <c r="X120">
        <f t="shared" si="96"/>
        <v>15407</v>
      </c>
      <c r="Y120">
        <f t="shared" si="96"/>
        <v>35729</v>
      </c>
      <c r="Z120">
        <f t="shared" si="96"/>
        <v>81366</v>
      </c>
      <c r="AA120">
        <f t="shared" si="96"/>
        <v>189516</v>
      </c>
    </row>
    <row r="121" spans="1:27" x14ac:dyDescent="0.25">
      <c r="B121">
        <v>21</v>
      </c>
      <c r="C121">
        <v>16</v>
      </c>
      <c r="D121">
        <v>17</v>
      </c>
      <c r="E121">
        <v>21</v>
      </c>
    </row>
    <row r="122" spans="1:27" x14ac:dyDescent="0.25">
      <c r="M122">
        <f>SUM(IF(FREQUENCY(M101:M120,M101:M120)&gt;0,1))</f>
        <v>6</v>
      </c>
      <c r="N122">
        <f t="shared" ref="N122:AA122" si="97">SUM(IF(FREQUENCY(N101:N120,N101:N120)&gt;0,1))</f>
        <v>10</v>
      </c>
      <c r="O122">
        <f t="shared" si="97"/>
        <v>15</v>
      </c>
      <c r="P122">
        <f t="shared" si="97"/>
        <v>17</v>
      </c>
      <c r="Q122">
        <f t="shared" si="97"/>
        <v>17</v>
      </c>
      <c r="R122">
        <f t="shared" si="97"/>
        <v>18</v>
      </c>
      <c r="S122">
        <f t="shared" si="97"/>
        <v>18</v>
      </c>
      <c r="T122">
        <f t="shared" si="97"/>
        <v>18</v>
      </c>
      <c r="U122">
        <f t="shared" si="97"/>
        <v>18</v>
      </c>
      <c r="V122">
        <f t="shared" si="97"/>
        <v>18</v>
      </c>
      <c r="W122">
        <f t="shared" si="97"/>
        <v>18</v>
      </c>
      <c r="X122">
        <f t="shared" si="97"/>
        <v>18</v>
      </c>
      <c r="Y122">
        <f t="shared" si="97"/>
        <v>18</v>
      </c>
      <c r="Z122">
        <f t="shared" si="97"/>
        <v>18</v>
      </c>
      <c r="AA122">
        <f t="shared" si="97"/>
        <v>18</v>
      </c>
    </row>
    <row r="123" spans="1:27" x14ac:dyDescent="0.25">
      <c r="A123" t="s">
        <v>302</v>
      </c>
      <c r="E123" t="s">
        <v>142</v>
      </c>
      <c r="F123" t="s">
        <v>143</v>
      </c>
      <c r="G123" t="s">
        <v>1</v>
      </c>
      <c r="H123" t="s">
        <v>144</v>
      </c>
      <c r="I123" t="s">
        <v>145</v>
      </c>
      <c r="J123" t="s">
        <v>146</v>
      </c>
      <c r="K123" t="s">
        <v>147</v>
      </c>
      <c r="L123" t="s">
        <v>148</v>
      </c>
      <c r="M123" t="s">
        <v>149</v>
      </c>
      <c r="N123" t="s">
        <v>149</v>
      </c>
      <c r="O123" t="s">
        <v>149</v>
      </c>
      <c r="P123" t="s">
        <v>149</v>
      </c>
      <c r="Q123" t="s">
        <v>149</v>
      </c>
      <c r="R123" t="s">
        <v>149</v>
      </c>
      <c r="S123" t="s">
        <v>149</v>
      </c>
      <c r="T123" t="s">
        <v>149</v>
      </c>
      <c r="U123" t="s">
        <v>149</v>
      </c>
      <c r="V123" t="s">
        <v>149</v>
      </c>
      <c r="W123" t="s">
        <v>149</v>
      </c>
      <c r="X123" t="s">
        <v>149</v>
      </c>
      <c r="Y123" t="s">
        <v>149</v>
      </c>
      <c r="Z123" t="s">
        <v>149</v>
      </c>
      <c r="AA123" t="s">
        <v>149</v>
      </c>
    </row>
    <row r="124" spans="1:27" x14ac:dyDescent="0.25">
      <c r="B124">
        <v>1</v>
      </c>
      <c r="C124">
        <v>1</v>
      </c>
      <c r="D124">
        <v>12</v>
      </c>
      <c r="E124">
        <v>17</v>
      </c>
      <c r="F124" t="s">
        <v>39</v>
      </c>
      <c r="G124" t="s">
        <v>23</v>
      </c>
      <c r="H124">
        <v>1</v>
      </c>
      <c r="I124">
        <v>8</v>
      </c>
      <c r="J124">
        <v>12</v>
      </c>
      <c r="K124" t="s">
        <v>304</v>
      </c>
      <c r="L124">
        <f>COUNTIF(C123:D144,B124)</f>
        <v>1</v>
      </c>
      <c r="M124">
        <f>SUM(L135)</f>
        <v>3</v>
      </c>
      <c r="N124">
        <f t="shared" ref="N124:AA125" si="98">SUM(M135)</f>
        <v>5</v>
      </c>
      <c r="O124">
        <f t="shared" si="98"/>
        <v>13</v>
      </c>
      <c r="P124">
        <f t="shared" si="98"/>
        <v>27</v>
      </c>
      <c r="Q124">
        <f t="shared" si="98"/>
        <v>66</v>
      </c>
      <c r="R124">
        <f t="shared" si="98"/>
        <v>148</v>
      </c>
      <c r="S124">
        <f t="shared" si="98"/>
        <v>354</v>
      </c>
      <c r="T124">
        <f t="shared" si="98"/>
        <v>817</v>
      </c>
      <c r="U124">
        <f t="shared" si="98"/>
        <v>1938</v>
      </c>
      <c r="V124">
        <f t="shared" si="98"/>
        <v>4533</v>
      </c>
      <c r="W124">
        <f t="shared" si="98"/>
        <v>10718</v>
      </c>
      <c r="X124">
        <f t="shared" si="98"/>
        <v>25269</v>
      </c>
      <c r="Y124">
        <f t="shared" si="98"/>
        <v>59695</v>
      </c>
      <c r="Z124">
        <f t="shared" si="98"/>
        <v>141530</v>
      </c>
      <c r="AA124">
        <f t="shared" si="98"/>
        <v>334475</v>
      </c>
    </row>
    <row r="125" spans="1:27" x14ac:dyDescent="0.25">
      <c r="B125">
        <v>2</v>
      </c>
      <c r="C125">
        <v>2</v>
      </c>
      <c r="D125">
        <v>13</v>
      </c>
      <c r="E125">
        <v>16</v>
      </c>
      <c r="F125" t="s">
        <v>39</v>
      </c>
      <c r="G125" t="s">
        <v>23</v>
      </c>
      <c r="H125">
        <v>1</v>
      </c>
      <c r="I125">
        <v>8</v>
      </c>
      <c r="J125">
        <v>13</v>
      </c>
      <c r="K125" t="s">
        <v>305</v>
      </c>
      <c r="L125">
        <f>COUNTIF(C123:D144,B125)</f>
        <v>1</v>
      </c>
      <c r="M125">
        <f>SUM(L136)</f>
        <v>3</v>
      </c>
      <c r="N125">
        <f t="shared" si="98"/>
        <v>6</v>
      </c>
      <c r="O125">
        <f t="shared" si="98"/>
        <v>14</v>
      </c>
      <c r="P125">
        <f t="shared" si="98"/>
        <v>31</v>
      </c>
      <c r="Q125">
        <f t="shared" si="98"/>
        <v>69</v>
      </c>
      <c r="R125">
        <f t="shared" si="98"/>
        <v>157</v>
      </c>
      <c r="S125">
        <f t="shared" si="98"/>
        <v>349</v>
      </c>
      <c r="T125">
        <f t="shared" si="98"/>
        <v>803</v>
      </c>
      <c r="U125">
        <f t="shared" si="98"/>
        <v>1802</v>
      </c>
      <c r="V125">
        <f t="shared" si="98"/>
        <v>4173</v>
      </c>
      <c r="W125">
        <f t="shared" si="98"/>
        <v>9471</v>
      </c>
      <c r="X125">
        <f t="shared" si="98"/>
        <v>22035</v>
      </c>
      <c r="Y125">
        <f t="shared" si="98"/>
        <v>50552</v>
      </c>
      <c r="Z125">
        <f t="shared" si="98"/>
        <v>118058</v>
      </c>
      <c r="AA125">
        <f t="shared" si="98"/>
        <v>273462</v>
      </c>
    </row>
    <row r="126" spans="1:27" x14ac:dyDescent="0.25">
      <c r="B126">
        <v>3</v>
      </c>
      <c r="C126">
        <v>3</v>
      </c>
      <c r="D126">
        <v>6</v>
      </c>
      <c r="E126">
        <v>9</v>
      </c>
      <c r="F126" t="s">
        <v>255</v>
      </c>
      <c r="G126" t="s">
        <v>21</v>
      </c>
      <c r="H126">
        <v>1</v>
      </c>
      <c r="I126">
        <v>7</v>
      </c>
      <c r="J126" t="s">
        <v>306</v>
      </c>
      <c r="K126" t="s">
        <v>307</v>
      </c>
      <c r="L126">
        <f>COUNTIF(C123:D144,B126)</f>
        <v>2</v>
      </c>
      <c r="M126">
        <f>SUM(L129,L136)</f>
        <v>6</v>
      </c>
      <c r="N126">
        <f t="shared" ref="N126:AA126" si="99">SUM(M129,M136)</f>
        <v>13</v>
      </c>
      <c r="O126">
        <f t="shared" si="99"/>
        <v>31</v>
      </c>
      <c r="P126">
        <f t="shared" si="99"/>
        <v>71</v>
      </c>
      <c r="Q126">
        <f t="shared" si="99"/>
        <v>163</v>
      </c>
      <c r="R126">
        <f t="shared" si="99"/>
        <v>379</v>
      </c>
      <c r="S126">
        <f t="shared" si="99"/>
        <v>870</v>
      </c>
      <c r="T126">
        <f t="shared" si="99"/>
        <v>2033</v>
      </c>
      <c r="U126">
        <f t="shared" si="99"/>
        <v>4701</v>
      </c>
      <c r="V126">
        <f t="shared" si="99"/>
        <v>11015</v>
      </c>
      <c r="W126">
        <f t="shared" si="99"/>
        <v>25674</v>
      </c>
      <c r="X126">
        <f t="shared" si="99"/>
        <v>60294</v>
      </c>
      <c r="Y126">
        <f t="shared" si="99"/>
        <v>141544</v>
      </c>
      <c r="Z126">
        <f t="shared" si="99"/>
        <v>333143</v>
      </c>
      <c r="AA126">
        <f t="shared" si="99"/>
        <v>786878</v>
      </c>
    </row>
    <row r="127" spans="1:27" x14ac:dyDescent="0.25">
      <c r="B127">
        <v>4</v>
      </c>
      <c r="C127">
        <v>3</v>
      </c>
      <c r="D127">
        <v>13</v>
      </c>
      <c r="E127">
        <v>7</v>
      </c>
      <c r="F127" t="s">
        <v>255</v>
      </c>
      <c r="G127" t="s">
        <v>21</v>
      </c>
      <c r="H127">
        <v>1</v>
      </c>
      <c r="I127">
        <v>7</v>
      </c>
      <c r="J127" t="s">
        <v>308</v>
      </c>
      <c r="K127" t="s">
        <v>309</v>
      </c>
      <c r="L127">
        <f>COUNTIF(C123:D144,B127)</f>
        <v>2</v>
      </c>
      <c r="M127">
        <f>SUM(L132,L133)</f>
        <v>5</v>
      </c>
      <c r="N127">
        <f t="shared" ref="N127:AA127" si="100">SUM(M132,M133)</f>
        <v>12</v>
      </c>
      <c r="O127">
        <f t="shared" si="100"/>
        <v>30</v>
      </c>
      <c r="P127">
        <f t="shared" si="100"/>
        <v>73</v>
      </c>
      <c r="Q127">
        <f t="shared" si="100"/>
        <v>181</v>
      </c>
      <c r="R127">
        <f t="shared" si="100"/>
        <v>439</v>
      </c>
      <c r="S127">
        <f t="shared" si="100"/>
        <v>1083</v>
      </c>
      <c r="T127">
        <f t="shared" si="100"/>
        <v>2617</v>
      </c>
      <c r="U127">
        <f t="shared" si="100"/>
        <v>6434</v>
      </c>
      <c r="V127">
        <f t="shared" si="100"/>
        <v>15513</v>
      </c>
      <c r="W127">
        <f t="shared" si="100"/>
        <v>38033</v>
      </c>
      <c r="X127">
        <f t="shared" si="100"/>
        <v>91605</v>
      </c>
      <c r="Y127">
        <f t="shared" si="100"/>
        <v>224042</v>
      </c>
      <c r="Z127">
        <f t="shared" si="100"/>
        <v>539416</v>
      </c>
      <c r="AA127">
        <f t="shared" si="100"/>
        <v>1316482</v>
      </c>
    </row>
    <row r="128" spans="1:27" x14ac:dyDescent="0.25">
      <c r="B128">
        <v>5</v>
      </c>
      <c r="C128">
        <v>4</v>
      </c>
      <c r="D128">
        <v>9</v>
      </c>
      <c r="E128">
        <v>5</v>
      </c>
      <c r="F128" t="s">
        <v>16</v>
      </c>
      <c r="G128" t="s">
        <v>12</v>
      </c>
      <c r="H128">
        <v>1</v>
      </c>
      <c r="I128">
        <v>6</v>
      </c>
      <c r="J128" t="s">
        <v>310</v>
      </c>
      <c r="K128" t="s">
        <v>311</v>
      </c>
      <c r="L128">
        <f>COUNTIF(C123:D144,B128)</f>
        <v>2</v>
      </c>
      <c r="M128">
        <f>SUM(L129,L130)</f>
        <v>6</v>
      </c>
      <c r="N128">
        <f t="shared" ref="N128:AA128" si="101">SUM(M129,M130)</f>
        <v>14</v>
      </c>
      <c r="O128">
        <f t="shared" si="101"/>
        <v>36</v>
      </c>
      <c r="P128">
        <f t="shared" si="101"/>
        <v>85</v>
      </c>
      <c r="Q128">
        <f t="shared" si="101"/>
        <v>210</v>
      </c>
      <c r="R128">
        <f t="shared" si="101"/>
        <v>497</v>
      </c>
      <c r="S128">
        <f t="shared" si="101"/>
        <v>1212</v>
      </c>
      <c r="T128">
        <f t="shared" si="101"/>
        <v>2871</v>
      </c>
      <c r="U128">
        <f t="shared" si="101"/>
        <v>6969</v>
      </c>
      <c r="V128">
        <f t="shared" si="101"/>
        <v>16526</v>
      </c>
      <c r="W128">
        <f t="shared" si="101"/>
        <v>40049</v>
      </c>
      <c r="X128">
        <f t="shared" si="101"/>
        <v>95096</v>
      </c>
      <c r="Y128">
        <f t="shared" si="101"/>
        <v>230342</v>
      </c>
      <c r="Z128">
        <f t="shared" si="101"/>
        <v>547724</v>
      </c>
      <c r="AA128">
        <f t="shared" si="101"/>
        <v>1326640</v>
      </c>
    </row>
    <row r="129" spans="2:27" x14ac:dyDescent="0.25">
      <c r="B129">
        <v>6</v>
      </c>
      <c r="C129">
        <v>4</v>
      </c>
      <c r="D129">
        <v>10</v>
      </c>
      <c r="E129">
        <v>4</v>
      </c>
      <c r="F129" t="s">
        <v>16</v>
      </c>
      <c r="G129" t="s">
        <v>12</v>
      </c>
      <c r="H129">
        <v>1</v>
      </c>
      <c r="I129">
        <v>6</v>
      </c>
      <c r="J129" t="s">
        <v>312</v>
      </c>
      <c r="K129" t="s">
        <v>313</v>
      </c>
      <c r="L129">
        <f>COUNTIF(C123:D144,B129)</f>
        <v>3</v>
      </c>
      <c r="M129">
        <f>SUM(L126,L128,L135)</f>
        <v>7</v>
      </c>
      <c r="N129">
        <f t="shared" ref="N129:AA129" si="102">SUM(M126,M128,M135)</f>
        <v>17</v>
      </c>
      <c r="O129">
        <f t="shared" si="102"/>
        <v>40</v>
      </c>
      <c r="P129">
        <f t="shared" si="102"/>
        <v>94</v>
      </c>
      <c r="Q129">
        <f t="shared" si="102"/>
        <v>222</v>
      </c>
      <c r="R129">
        <f t="shared" si="102"/>
        <v>521</v>
      </c>
      <c r="S129">
        <f t="shared" si="102"/>
        <v>1230</v>
      </c>
      <c r="T129">
        <f t="shared" si="102"/>
        <v>2899</v>
      </c>
      <c r="U129">
        <f t="shared" si="102"/>
        <v>6842</v>
      </c>
      <c r="V129">
        <f t="shared" si="102"/>
        <v>16203</v>
      </c>
      <c r="W129">
        <f t="shared" si="102"/>
        <v>38259</v>
      </c>
      <c r="X129">
        <f t="shared" si="102"/>
        <v>90992</v>
      </c>
      <c r="Y129">
        <f t="shared" si="102"/>
        <v>215085</v>
      </c>
      <c r="Z129">
        <f t="shared" si="102"/>
        <v>513416</v>
      </c>
      <c r="AA129">
        <f t="shared" si="102"/>
        <v>1215342</v>
      </c>
    </row>
    <row r="130" spans="2:27" x14ac:dyDescent="0.25">
      <c r="B130">
        <v>7</v>
      </c>
      <c r="C130">
        <v>5</v>
      </c>
      <c r="D130">
        <v>6</v>
      </c>
      <c r="E130">
        <v>1</v>
      </c>
      <c r="F130" t="s">
        <v>16</v>
      </c>
      <c r="G130" t="s">
        <v>12</v>
      </c>
      <c r="H130">
        <v>1</v>
      </c>
      <c r="I130">
        <v>6</v>
      </c>
      <c r="J130" t="s">
        <v>314</v>
      </c>
      <c r="K130" t="s">
        <v>315</v>
      </c>
      <c r="L130">
        <f>COUNTIF(C123:D144,B130)</f>
        <v>3</v>
      </c>
      <c r="M130">
        <f>SUM(L128,L131,L133)</f>
        <v>7</v>
      </c>
      <c r="N130">
        <f t="shared" ref="N130:AA130" si="103">SUM(M128,M131,M133)</f>
        <v>19</v>
      </c>
      <c r="O130">
        <f t="shared" si="103"/>
        <v>45</v>
      </c>
      <c r="P130">
        <f t="shared" si="103"/>
        <v>116</v>
      </c>
      <c r="Q130">
        <f t="shared" si="103"/>
        <v>275</v>
      </c>
      <c r="R130">
        <f t="shared" si="103"/>
        <v>691</v>
      </c>
      <c r="S130">
        <f t="shared" si="103"/>
        <v>1641</v>
      </c>
      <c r="T130">
        <f t="shared" si="103"/>
        <v>4070</v>
      </c>
      <c r="U130">
        <f t="shared" si="103"/>
        <v>9684</v>
      </c>
      <c r="V130">
        <f t="shared" si="103"/>
        <v>23846</v>
      </c>
      <c r="W130">
        <f t="shared" si="103"/>
        <v>56837</v>
      </c>
      <c r="X130">
        <f t="shared" si="103"/>
        <v>139350</v>
      </c>
      <c r="Y130">
        <f t="shared" si="103"/>
        <v>332639</v>
      </c>
      <c r="Z130">
        <f t="shared" si="103"/>
        <v>813224</v>
      </c>
      <c r="AA130">
        <f t="shared" si="103"/>
        <v>1943705</v>
      </c>
    </row>
    <row r="131" spans="2:27" x14ac:dyDescent="0.25">
      <c r="B131">
        <v>8</v>
      </c>
      <c r="C131">
        <v>5</v>
      </c>
      <c r="D131">
        <v>7</v>
      </c>
      <c r="E131">
        <v>2</v>
      </c>
      <c r="F131" t="s">
        <v>16</v>
      </c>
      <c r="G131" t="s">
        <v>12</v>
      </c>
      <c r="H131">
        <v>1</v>
      </c>
      <c r="I131">
        <v>6</v>
      </c>
      <c r="J131" t="s">
        <v>316</v>
      </c>
      <c r="K131" t="s">
        <v>317</v>
      </c>
      <c r="L131">
        <f>COUNTIF(C123:D144,B131)</f>
        <v>3</v>
      </c>
      <c r="M131">
        <f>SUM(L130,L132,L134)</f>
        <v>8</v>
      </c>
      <c r="N131">
        <f t="shared" ref="N131:AA131" si="104">SUM(M130,M132,M134)</f>
        <v>19</v>
      </c>
      <c r="O131">
        <f t="shared" si="104"/>
        <v>49</v>
      </c>
      <c r="P131">
        <f t="shared" si="104"/>
        <v>115</v>
      </c>
      <c r="Q131">
        <f t="shared" si="104"/>
        <v>292</v>
      </c>
      <c r="R131">
        <f t="shared" si="104"/>
        <v>688</v>
      </c>
      <c r="S131">
        <f t="shared" si="104"/>
        <v>1728</v>
      </c>
      <c r="T131">
        <f t="shared" si="104"/>
        <v>4089</v>
      </c>
      <c r="U131">
        <f t="shared" si="104"/>
        <v>10190</v>
      </c>
      <c r="V131">
        <f t="shared" si="104"/>
        <v>24193</v>
      </c>
      <c r="W131">
        <f t="shared" si="104"/>
        <v>59942</v>
      </c>
      <c r="X131">
        <f t="shared" si="104"/>
        <v>142673</v>
      </c>
      <c r="Y131">
        <f t="shared" si="104"/>
        <v>351927</v>
      </c>
      <c r="Z131">
        <f t="shared" si="104"/>
        <v>839300</v>
      </c>
      <c r="AA131">
        <f t="shared" si="104"/>
        <v>2063017</v>
      </c>
    </row>
    <row r="132" spans="2:27" x14ac:dyDescent="0.25">
      <c r="B132">
        <v>9</v>
      </c>
      <c r="C132">
        <v>6</v>
      </c>
      <c r="D132">
        <v>12</v>
      </c>
      <c r="E132">
        <v>3</v>
      </c>
      <c r="F132" t="s">
        <v>16</v>
      </c>
      <c r="G132" t="s">
        <v>12</v>
      </c>
      <c r="H132">
        <v>1</v>
      </c>
      <c r="I132">
        <v>6</v>
      </c>
      <c r="J132" t="s">
        <v>318</v>
      </c>
      <c r="K132" t="s">
        <v>319</v>
      </c>
      <c r="L132">
        <f>COUNTIF(C123:D144,B132)</f>
        <v>3</v>
      </c>
      <c r="M132">
        <f>SUM(L127,L131,L138)</f>
        <v>7</v>
      </c>
      <c r="N132">
        <f t="shared" ref="N132:AA132" si="105">SUM(M127,M131,M138)</f>
        <v>18</v>
      </c>
      <c r="O132">
        <f t="shared" si="105"/>
        <v>42</v>
      </c>
      <c r="P132">
        <f t="shared" si="105"/>
        <v>106</v>
      </c>
      <c r="Q132">
        <f t="shared" si="105"/>
        <v>250</v>
      </c>
      <c r="R132">
        <f t="shared" si="105"/>
        <v>627</v>
      </c>
      <c r="S132">
        <f t="shared" si="105"/>
        <v>1487</v>
      </c>
      <c r="T132">
        <f t="shared" si="105"/>
        <v>3710</v>
      </c>
      <c r="U132">
        <f t="shared" si="105"/>
        <v>8826</v>
      </c>
      <c r="V132">
        <f t="shared" si="105"/>
        <v>21915</v>
      </c>
      <c r="W132">
        <f t="shared" si="105"/>
        <v>52246</v>
      </c>
      <c r="X132">
        <f t="shared" si="105"/>
        <v>129172</v>
      </c>
      <c r="Y132">
        <f t="shared" si="105"/>
        <v>308461</v>
      </c>
      <c r="Z132">
        <f t="shared" si="105"/>
        <v>759801</v>
      </c>
      <c r="AA132">
        <f t="shared" si="105"/>
        <v>1816887</v>
      </c>
    </row>
    <row r="133" spans="2:27" x14ac:dyDescent="0.25">
      <c r="B133">
        <v>10</v>
      </c>
      <c r="C133">
        <v>7</v>
      </c>
      <c r="D133">
        <v>8</v>
      </c>
      <c r="E133">
        <v>6</v>
      </c>
      <c r="F133" t="s">
        <v>16</v>
      </c>
      <c r="G133" t="s">
        <v>12</v>
      </c>
      <c r="H133">
        <v>1</v>
      </c>
      <c r="I133">
        <v>6</v>
      </c>
      <c r="J133" t="s">
        <v>320</v>
      </c>
      <c r="K133" t="s">
        <v>321</v>
      </c>
      <c r="L133">
        <f>COUNTIF(C123:D144,B133)</f>
        <v>2</v>
      </c>
      <c r="M133">
        <f>SUM(L127,L130)</f>
        <v>5</v>
      </c>
      <c r="N133">
        <f t="shared" ref="N133:AA133" si="106">SUM(M127,M130)</f>
        <v>12</v>
      </c>
      <c r="O133">
        <f t="shared" si="106"/>
        <v>31</v>
      </c>
      <c r="P133">
        <f t="shared" si="106"/>
        <v>75</v>
      </c>
      <c r="Q133">
        <f t="shared" si="106"/>
        <v>189</v>
      </c>
      <c r="R133">
        <f t="shared" si="106"/>
        <v>456</v>
      </c>
      <c r="S133">
        <f t="shared" si="106"/>
        <v>1130</v>
      </c>
      <c r="T133">
        <f t="shared" si="106"/>
        <v>2724</v>
      </c>
      <c r="U133">
        <f t="shared" si="106"/>
        <v>6687</v>
      </c>
      <c r="V133">
        <f t="shared" si="106"/>
        <v>16118</v>
      </c>
      <c r="W133">
        <f t="shared" si="106"/>
        <v>39359</v>
      </c>
      <c r="X133">
        <f t="shared" si="106"/>
        <v>94870</v>
      </c>
      <c r="Y133">
        <f t="shared" si="106"/>
        <v>230955</v>
      </c>
      <c r="Z133">
        <f t="shared" si="106"/>
        <v>556681</v>
      </c>
      <c r="AA133">
        <f t="shared" si="106"/>
        <v>1352640</v>
      </c>
    </row>
    <row r="134" spans="2:27" x14ac:dyDescent="0.25">
      <c r="B134">
        <v>11</v>
      </c>
      <c r="C134">
        <v>7</v>
      </c>
      <c r="D134">
        <v>10</v>
      </c>
      <c r="E134">
        <v>8</v>
      </c>
      <c r="F134" t="s">
        <v>16</v>
      </c>
      <c r="G134" t="s">
        <v>12</v>
      </c>
      <c r="H134">
        <v>1</v>
      </c>
      <c r="I134">
        <v>6</v>
      </c>
      <c r="J134" t="s">
        <v>322</v>
      </c>
      <c r="K134" t="s">
        <v>323</v>
      </c>
      <c r="L134">
        <f>COUNTIF(C123:D144,B134)</f>
        <v>2</v>
      </c>
      <c r="M134">
        <f>SUM(L131,L139)</f>
        <v>5</v>
      </c>
      <c r="N134">
        <f t="shared" ref="N134:AA134" si="107">SUM(M131,M139)</f>
        <v>12</v>
      </c>
      <c r="O134">
        <f t="shared" si="107"/>
        <v>28</v>
      </c>
      <c r="P134">
        <f t="shared" si="107"/>
        <v>70</v>
      </c>
      <c r="Q134">
        <f t="shared" si="107"/>
        <v>163</v>
      </c>
      <c r="R134">
        <f t="shared" si="107"/>
        <v>410</v>
      </c>
      <c r="S134">
        <f t="shared" si="107"/>
        <v>961</v>
      </c>
      <c r="T134">
        <f t="shared" si="107"/>
        <v>2410</v>
      </c>
      <c r="U134">
        <f t="shared" si="107"/>
        <v>5683</v>
      </c>
      <c r="V134">
        <f t="shared" si="107"/>
        <v>14181</v>
      </c>
      <c r="W134">
        <f t="shared" si="107"/>
        <v>33590</v>
      </c>
      <c r="X134">
        <f t="shared" si="107"/>
        <v>83405</v>
      </c>
      <c r="Y134">
        <f t="shared" si="107"/>
        <v>198200</v>
      </c>
      <c r="Z134">
        <f t="shared" si="107"/>
        <v>489992</v>
      </c>
      <c r="AA134">
        <f t="shared" si="107"/>
        <v>1167210</v>
      </c>
    </row>
    <row r="135" spans="2:27" x14ac:dyDescent="0.25">
      <c r="B135">
        <v>12</v>
      </c>
      <c r="C135">
        <v>8</v>
      </c>
      <c r="D135">
        <v>9</v>
      </c>
      <c r="E135">
        <v>11</v>
      </c>
      <c r="F135" t="s">
        <v>16</v>
      </c>
      <c r="G135" t="s">
        <v>12</v>
      </c>
      <c r="H135">
        <v>1</v>
      </c>
      <c r="I135">
        <v>6</v>
      </c>
      <c r="J135" t="s">
        <v>324</v>
      </c>
      <c r="K135" t="s">
        <v>325</v>
      </c>
      <c r="L135">
        <f>COUNTIF(C123:D144,B135)</f>
        <v>3</v>
      </c>
      <c r="M135">
        <f>SUM(L124,L129,L142)</f>
        <v>5</v>
      </c>
      <c r="N135">
        <f t="shared" ref="N135:AA135" si="108">SUM(M124,M129,M142)</f>
        <v>13</v>
      </c>
      <c r="O135">
        <f t="shared" si="108"/>
        <v>27</v>
      </c>
      <c r="P135">
        <f t="shared" si="108"/>
        <v>66</v>
      </c>
      <c r="Q135">
        <f t="shared" si="108"/>
        <v>148</v>
      </c>
      <c r="R135">
        <f t="shared" si="108"/>
        <v>354</v>
      </c>
      <c r="S135">
        <f t="shared" si="108"/>
        <v>817</v>
      </c>
      <c r="T135">
        <f t="shared" si="108"/>
        <v>1938</v>
      </c>
      <c r="U135">
        <f t="shared" si="108"/>
        <v>4533</v>
      </c>
      <c r="V135">
        <f t="shared" si="108"/>
        <v>10718</v>
      </c>
      <c r="W135">
        <f t="shared" si="108"/>
        <v>25269</v>
      </c>
      <c r="X135">
        <f t="shared" si="108"/>
        <v>59695</v>
      </c>
      <c r="Y135">
        <f t="shared" si="108"/>
        <v>141530</v>
      </c>
      <c r="Z135">
        <f t="shared" si="108"/>
        <v>334475</v>
      </c>
      <c r="AA135">
        <f t="shared" si="108"/>
        <v>796476</v>
      </c>
    </row>
    <row r="136" spans="2:27" x14ac:dyDescent="0.25">
      <c r="B136">
        <v>13</v>
      </c>
      <c r="C136">
        <v>8</v>
      </c>
      <c r="D136">
        <v>11</v>
      </c>
      <c r="E136">
        <v>12</v>
      </c>
      <c r="F136" t="s">
        <v>16</v>
      </c>
      <c r="G136" t="s">
        <v>12</v>
      </c>
      <c r="H136">
        <v>1</v>
      </c>
      <c r="I136">
        <v>6</v>
      </c>
      <c r="J136" t="s">
        <v>326</v>
      </c>
      <c r="K136" t="s">
        <v>327</v>
      </c>
      <c r="L136">
        <f>COUNTIF(C123:D144,B136)</f>
        <v>3</v>
      </c>
      <c r="M136">
        <f>SUM(L125,L126,L137)</f>
        <v>6</v>
      </c>
      <c r="N136">
        <f t="shared" ref="N136:AA136" si="109">SUM(M125,M126,M137)</f>
        <v>14</v>
      </c>
      <c r="O136">
        <f t="shared" si="109"/>
        <v>31</v>
      </c>
      <c r="P136">
        <f t="shared" si="109"/>
        <v>69</v>
      </c>
      <c r="Q136">
        <f t="shared" si="109"/>
        <v>157</v>
      </c>
      <c r="R136">
        <f t="shared" si="109"/>
        <v>349</v>
      </c>
      <c r="S136">
        <f t="shared" si="109"/>
        <v>803</v>
      </c>
      <c r="T136">
        <f t="shared" si="109"/>
        <v>1802</v>
      </c>
      <c r="U136">
        <f t="shared" si="109"/>
        <v>4173</v>
      </c>
      <c r="V136">
        <f t="shared" si="109"/>
        <v>9471</v>
      </c>
      <c r="W136">
        <f t="shared" si="109"/>
        <v>22035</v>
      </c>
      <c r="X136">
        <f t="shared" si="109"/>
        <v>50552</v>
      </c>
      <c r="Y136">
        <f t="shared" si="109"/>
        <v>118058</v>
      </c>
      <c r="Z136">
        <f t="shared" si="109"/>
        <v>273462</v>
      </c>
      <c r="AA136">
        <f t="shared" si="109"/>
        <v>640717</v>
      </c>
    </row>
    <row r="137" spans="2:27" x14ac:dyDescent="0.25">
      <c r="B137">
        <v>14</v>
      </c>
      <c r="C137">
        <v>9</v>
      </c>
      <c r="D137">
        <v>15</v>
      </c>
      <c r="E137">
        <v>15</v>
      </c>
      <c r="F137" t="s">
        <v>16</v>
      </c>
      <c r="G137" t="s">
        <v>12</v>
      </c>
      <c r="H137">
        <v>1</v>
      </c>
      <c r="I137">
        <v>6</v>
      </c>
      <c r="J137" t="s">
        <v>328</v>
      </c>
      <c r="K137" t="s">
        <v>329</v>
      </c>
      <c r="L137">
        <f>COUNTIF(C123:D144,B137)</f>
        <v>3</v>
      </c>
      <c r="M137">
        <f>SUM(L136,L141,L143)</f>
        <v>5</v>
      </c>
      <c r="N137">
        <f t="shared" ref="N137:AA137" si="110">SUM(M136,M141,M143)</f>
        <v>12</v>
      </c>
      <c r="O137">
        <f t="shared" si="110"/>
        <v>24</v>
      </c>
      <c r="P137">
        <f t="shared" si="110"/>
        <v>55</v>
      </c>
      <c r="Q137">
        <f t="shared" si="110"/>
        <v>117</v>
      </c>
      <c r="R137">
        <f t="shared" si="110"/>
        <v>267</v>
      </c>
      <c r="S137">
        <f t="shared" si="110"/>
        <v>583</v>
      </c>
      <c r="T137">
        <f t="shared" si="110"/>
        <v>1337</v>
      </c>
      <c r="U137">
        <f t="shared" si="110"/>
        <v>2968</v>
      </c>
      <c r="V137">
        <f t="shared" si="110"/>
        <v>6847</v>
      </c>
      <c r="W137">
        <f t="shared" si="110"/>
        <v>15407</v>
      </c>
      <c r="X137">
        <f t="shared" si="110"/>
        <v>35729</v>
      </c>
      <c r="Y137">
        <f t="shared" si="110"/>
        <v>81366</v>
      </c>
      <c r="Z137">
        <f t="shared" si="110"/>
        <v>189516</v>
      </c>
      <c r="AA137">
        <f t="shared" si="110"/>
        <v>436194</v>
      </c>
    </row>
    <row r="138" spans="2:27" x14ac:dyDescent="0.25">
      <c r="B138">
        <v>15</v>
      </c>
      <c r="C138">
        <v>11</v>
      </c>
      <c r="D138">
        <v>16</v>
      </c>
      <c r="E138">
        <v>10</v>
      </c>
      <c r="F138" t="s">
        <v>16</v>
      </c>
      <c r="G138" t="s">
        <v>12</v>
      </c>
      <c r="H138">
        <v>1</v>
      </c>
      <c r="I138">
        <v>6</v>
      </c>
      <c r="J138" t="s">
        <v>330</v>
      </c>
      <c r="K138" t="s">
        <v>331</v>
      </c>
      <c r="L138">
        <f>COUNTIF(C123:D144,B138)</f>
        <v>2</v>
      </c>
      <c r="M138">
        <f>SUM(L132,L140)</f>
        <v>5</v>
      </c>
      <c r="N138">
        <f t="shared" ref="N138:AA138" si="111">SUM(M132,M140)</f>
        <v>11</v>
      </c>
      <c r="O138">
        <f t="shared" si="111"/>
        <v>27</v>
      </c>
      <c r="P138">
        <f t="shared" si="111"/>
        <v>62</v>
      </c>
      <c r="Q138">
        <f t="shared" si="111"/>
        <v>154</v>
      </c>
      <c r="R138">
        <f t="shared" si="111"/>
        <v>360</v>
      </c>
      <c r="S138">
        <f t="shared" si="111"/>
        <v>899</v>
      </c>
      <c r="T138">
        <f t="shared" si="111"/>
        <v>2120</v>
      </c>
      <c r="U138">
        <f t="shared" si="111"/>
        <v>5291</v>
      </c>
      <c r="V138">
        <f t="shared" si="111"/>
        <v>12540</v>
      </c>
      <c r="W138">
        <f t="shared" si="111"/>
        <v>31197</v>
      </c>
      <c r="X138">
        <f t="shared" si="111"/>
        <v>74183</v>
      </c>
      <c r="Y138">
        <f t="shared" si="111"/>
        <v>183832</v>
      </c>
      <c r="Z138">
        <f t="shared" si="111"/>
        <v>438171</v>
      </c>
      <c r="AA138">
        <f t="shared" si="111"/>
        <v>1081698</v>
      </c>
    </row>
    <row r="139" spans="2:27" x14ac:dyDescent="0.25">
      <c r="B139">
        <v>16</v>
      </c>
      <c r="C139">
        <v>12</v>
      </c>
      <c r="D139">
        <v>19</v>
      </c>
      <c r="E139">
        <v>13</v>
      </c>
      <c r="F139" t="s">
        <v>16</v>
      </c>
      <c r="G139" t="s">
        <v>12</v>
      </c>
      <c r="H139">
        <v>1</v>
      </c>
      <c r="I139">
        <v>6</v>
      </c>
      <c r="J139" t="s">
        <v>332</v>
      </c>
      <c r="K139" t="s">
        <v>333</v>
      </c>
      <c r="L139">
        <f>COUNTIF(C123:D144,B139)</f>
        <v>2</v>
      </c>
      <c r="M139">
        <f>SUM(L134,L140)</f>
        <v>4</v>
      </c>
      <c r="N139">
        <f t="shared" ref="N139:AA139" si="112">SUM(M134,M140)</f>
        <v>9</v>
      </c>
      <c r="O139">
        <f t="shared" si="112"/>
        <v>21</v>
      </c>
      <c r="P139">
        <f t="shared" si="112"/>
        <v>48</v>
      </c>
      <c r="Q139">
        <f t="shared" si="112"/>
        <v>118</v>
      </c>
      <c r="R139">
        <f t="shared" si="112"/>
        <v>273</v>
      </c>
      <c r="S139">
        <f t="shared" si="112"/>
        <v>682</v>
      </c>
      <c r="T139">
        <f t="shared" si="112"/>
        <v>1594</v>
      </c>
      <c r="U139">
        <f t="shared" si="112"/>
        <v>3991</v>
      </c>
      <c r="V139">
        <f t="shared" si="112"/>
        <v>9397</v>
      </c>
      <c r="W139">
        <f t="shared" si="112"/>
        <v>23463</v>
      </c>
      <c r="X139">
        <f t="shared" si="112"/>
        <v>55527</v>
      </c>
      <c r="Y139">
        <f t="shared" si="112"/>
        <v>138065</v>
      </c>
      <c r="Z139">
        <f t="shared" si="112"/>
        <v>327910</v>
      </c>
      <c r="AA139">
        <f t="shared" si="112"/>
        <v>811889</v>
      </c>
    </row>
    <row r="140" spans="2:27" x14ac:dyDescent="0.25">
      <c r="B140">
        <v>17</v>
      </c>
      <c r="C140">
        <v>13</v>
      </c>
      <c r="D140">
        <v>14</v>
      </c>
      <c r="E140">
        <v>14</v>
      </c>
      <c r="F140" t="s">
        <v>16</v>
      </c>
      <c r="G140" t="s">
        <v>12</v>
      </c>
      <c r="H140">
        <v>1</v>
      </c>
      <c r="I140">
        <v>6</v>
      </c>
      <c r="J140" t="s">
        <v>334</v>
      </c>
      <c r="K140" t="s">
        <v>335</v>
      </c>
      <c r="L140">
        <f>COUNTIF(C123:D144,B140)</f>
        <v>2</v>
      </c>
      <c r="M140">
        <f>SUM(L138,L139)</f>
        <v>4</v>
      </c>
      <c r="N140">
        <f t="shared" ref="N140:AA140" si="113">SUM(M138,M139)</f>
        <v>9</v>
      </c>
      <c r="O140">
        <f t="shared" si="113"/>
        <v>20</v>
      </c>
      <c r="P140">
        <f t="shared" si="113"/>
        <v>48</v>
      </c>
      <c r="Q140">
        <f t="shared" si="113"/>
        <v>110</v>
      </c>
      <c r="R140">
        <f t="shared" si="113"/>
        <v>272</v>
      </c>
      <c r="S140">
        <f t="shared" si="113"/>
        <v>633</v>
      </c>
      <c r="T140">
        <f t="shared" si="113"/>
        <v>1581</v>
      </c>
      <c r="U140">
        <f t="shared" si="113"/>
        <v>3714</v>
      </c>
      <c r="V140">
        <f t="shared" si="113"/>
        <v>9282</v>
      </c>
      <c r="W140">
        <f t="shared" si="113"/>
        <v>21937</v>
      </c>
      <c r="X140">
        <f t="shared" si="113"/>
        <v>54660</v>
      </c>
      <c r="Y140">
        <f t="shared" si="113"/>
        <v>129710</v>
      </c>
      <c r="Z140">
        <f t="shared" si="113"/>
        <v>321897</v>
      </c>
      <c r="AA140">
        <f t="shared" si="113"/>
        <v>766081</v>
      </c>
    </row>
    <row r="141" spans="2:27" x14ac:dyDescent="0.25">
      <c r="B141">
        <v>18</v>
      </c>
      <c r="C141">
        <v>14</v>
      </c>
      <c r="D141">
        <v>18</v>
      </c>
      <c r="E141">
        <v>20</v>
      </c>
      <c r="F141" t="s">
        <v>16</v>
      </c>
      <c r="G141" t="s">
        <v>12</v>
      </c>
      <c r="H141">
        <v>1</v>
      </c>
      <c r="I141">
        <v>6</v>
      </c>
      <c r="J141">
        <v>14</v>
      </c>
      <c r="K141" t="s">
        <v>336</v>
      </c>
      <c r="L141">
        <f>COUNTIF(C123:D144,B141)</f>
        <v>1</v>
      </c>
      <c r="M141">
        <f>SUM(L137)</f>
        <v>3</v>
      </c>
      <c r="N141">
        <f t="shared" ref="N141:AA141" si="114">SUM(M137)</f>
        <v>5</v>
      </c>
      <c r="O141">
        <f t="shared" si="114"/>
        <v>12</v>
      </c>
      <c r="P141">
        <f t="shared" si="114"/>
        <v>24</v>
      </c>
      <c r="Q141">
        <f t="shared" si="114"/>
        <v>55</v>
      </c>
      <c r="R141">
        <f t="shared" si="114"/>
        <v>117</v>
      </c>
      <c r="S141">
        <f t="shared" si="114"/>
        <v>267</v>
      </c>
      <c r="T141">
        <f t="shared" si="114"/>
        <v>583</v>
      </c>
      <c r="U141">
        <f t="shared" si="114"/>
        <v>1337</v>
      </c>
      <c r="V141">
        <f t="shared" si="114"/>
        <v>2968</v>
      </c>
      <c r="W141">
        <f t="shared" si="114"/>
        <v>6847</v>
      </c>
      <c r="X141">
        <f t="shared" si="114"/>
        <v>15407</v>
      </c>
      <c r="Y141">
        <f t="shared" si="114"/>
        <v>35729</v>
      </c>
      <c r="Z141">
        <f t="shared" si="114"/>
        <v>81366</v>
      </c>
      <c r="AA141">
        <f t="shared" si="114"/>
        <v>189516</v>
      </c>
    </row>
    <row r="142" spans="2:27" x14ac:dyDescent="0.25">
      <c r="B142">
        <v>19</v>
      </c>
      <c r="C142">
        <v>14</v>
      </c>
      <c r="D142">
        <v>20</v>
      </c>
      <c r="E142">
        <v>18</v>
      </c>
      <c r="F142" t="s">
        <v>39</v>
      </c>
      <c r="G142" t="s">
        <v>23</v>
      </c>
      <c r="H142">
        <v>1</v>
      </c>
      <c r="I142">
        <v>8</v>
      </c>
      <c r="J142">
        <v>12</v>
      </c>
      <c r="K142" t="s">
        <v>304</v>
      </c>
      <c r="L142">
        <f>COUNTIF(C123:D144,B142)</f>
        <v>1</v>
      </c>
      <c r="M142">
        <f>SUM(L135)</f>
        <v>3</v>
      </c>
      <c r="N142">
        <f t="shared" ref="N142:AA142" si="115">SUM(M135)</f>
        <v>5</v>
      </c>
      <c r="O142">
        <f t="shared" si="115"/>
        <v>13</v>
      </c>
      <c r="P142">
        <f t="shared" si="115"/>
        <v>27</v>
      </c>
      <c r="Q142">
        <f t="shared" si="115"/>
        <v>66</v>
      </c>
      <c r="R142">
        <f t="shared" si="115"/>
        <v>148</v>
      </c>
      <c r="S142">
        <f t="shared" si="115"/>
        <v>354</v>
      </c>
      <c r="T142">
        <f t="shared" si="115"/>
        <v>817</v>
      </c>
      <c r="U142">
        <f t="shared" si="115"/>
        <v>1938</v>
      </c>
      <c r="V142">
        <f t="shared" si="115"/>
        <v>4533</v>
      </c>
      <c r="W142">
        <f t="shared" si="115"/>
        <v>10718</v>
      </c>
      <c r="X142">
        <f t="shared" si="115"/>
        <v>25269</v>
      </c>
      <c r="Y142">
        <f t="shared" si="115"/>
        <v>59695</v>
      </c>
      <c r="Z142">
        <f t="shared" si="115"/>
        <v>141530</v>
      </c>
      <c r="AA142">
        <f t="shared" si="115"/>
        <v>334475</v>
      </c>
    </row>
    <row r="143" spans="2:27" x14ac:dyDescent="0.25">
      <c r="B143">
        <v>20</v>
      </c>
      <c r="C143">
        <v>15</v>
      </c>
      <c r="D143">
        <v>17</v>
      </c>
      <c r="E143">
        <v>19</v>
      </c>
      <c r="F143" t="s">
        <v>255</v>
      </c>
      <c r="G143" t="s">
        <v>21</v>
      </c>
      <c r="H143">
        <v>1</v>
      </c>
      <c r="I143">
        <v>7</v>
      </c>
      <c r="J143">
        <v>14</v>
      </c>
      <c r="K143" t="s">
        <v>336</v>
      </c>
      <c r="L143">
        <f>COUNTIF(C123:D144,B143)</f>
        <v>1</v>
      </c>
      <c r="M143">
        <f>SUM(L137)</f>
        <v>3</v>
      </c>
      <c r="N143">
        <f t="shared" ref="N143:AA143" si="116">SUM(M137)</f>
        <v>5</v>
      </c>
      <c r="O143">
        <f t="shared" si="116"/>
        <v>12</v>
      </c>
      <c r="P143">
        <f t="shared" si="116"/>
        <v>24</v>
      </c>
      <c r="Q143">
        <f t="shared" si="116"/>
        <v>55</v>
      </c>
      <c r="R143">
        <f t="shared" si="116"/>
        <v>117</v>
      </c>
      <c r="S143">
        <f t="shared" si="116"/>
        <v>267</v>
      </c>
      <c r="T143">
        <f t="shared" si="116"/>
        <v>583</v>
      </c>
      <c r="U143">
        <f t="shared" si="116"/>
        <v>1337</v>
      </c>
      <c r="V143">
        <f t="shared" si="116"/>
        <v>2968</v>
      </c>
      <c r="W143">
        <f t="shared" si="116"/>
        <v>6847</v>
      </c>
      <c r="X143">
        <f t="shared" si="116"/>
        <v>15407</v>
      </c>
      <c r="Y143">
        <f t="shared" si="116"/>
        <v>35729</v>
      </c>
      <c r="Z143">
        <f t="shared" si="116"/>
        <v>81366</v>
      </c>
      <c r="AA143">
        <f t="shared" si="116"/>
        <v>189516</v>
      </c>
    </row>
    <row r="144" spans="2:27" x14ac:dyDescent="0.25">
      <c r="B144">
        <v>21</v>
      </c>
      <c r="C144">
        <v>16</v>
      </c>
      <c r="D144">
        <v>17</v>
      </c>
      <c r="E144">
        <v>21</v>
      </c>
    </row>
    <row r="145" spans="1:27" x14ac:dyDescent="0.25">
      <c r="M145">
        <f>SUM(IF(FREQUENCY(M124:M143,M124:M143)&gt;0,1))</f>
        <v>6</v>
      </c>
      <c r="N145">
        <f t="shared" ref="N145:AA145" si="117">SUM(IF(FREQUENCY(N124:N143,N124:N143)&gt;0,1))</f>
        <v>10</v>
      </c>
      <c r="O145">
        <f t="shared" si="117"/>
        <v>15</v>
      </c>
      <c r="P145">
        <f t="shared" si="117"/>
        <v>17</v>
      </c>
      <c r="Q145">
        <f t="shared" si="117"/>
        <v>17</v>
      </c>
      <c r="R145">
        <f t="shared" si="117"/>
        <v>18</v>
      </c>
      <c r="S145">
        <f t="shared" si="117"/>
        <v>18</v>
      </c>
      <c r="T145">
        <f t="shared" si="117"/>
        <v>18</v>
      </c>
      <c r="U145">
        <f t="shared" si="117"/>
        <v>18</v>
      </c>
      <c r="V145">
        <f t="shared" si="117"/>
        <v>18</v>
      </c>
      <c r="W145">
        <f t="shared" si="117"/>
        <v>18</v>
      </c>
      <c r="X145">
        <f t="shared" si="117"/>
        <v>18</v>
      </c>
      <c r="Y145">
        <f t="shared" si="117"/>
        <v>18</v>
      </c>
      <c r="Z145">
        <f t="shared" si="117"/>
        <v>18</v>
      </c>
      <c r="AA145">
        <f t="shared" si="117"/>
        <v>18</v>
      </c>
    </row>
    <row r="146" spans="1:27" x14ac:dyDescent="0.25">
      <c r="A146" t="s">
        <v>303</v>
      </c>
      <c r="E146" t="s">
        <v>142</v>
      </c>
      <c r="F146" t="s">
        <v>143</v>
      </c>
      <c r="G146" t="s">
        <v>1</v>
      </c>
      <c r="H146" t="s">
        <v>144</v>
      </c>
      <c r="I146" t="s">
        <v>145</v>
      </c>
      <c r="J146" t="s">
        <v>146</v>
      </c>
      <c r="K146" t="s">
        <v>147</v>
      </c>
      <c r="L146" t="s">
        <v>148</v>
      </c>
      <c r="M146" t="s">
        <v>149</v>
      </c>
      <c r="N146" t="s">
        <v>149</v>
      </c>
      <c r="O146" t="s">
        <v>149</v>
      </c>
      <c r="P146" t="s">
        <v>149</v>
      </c>
      <c r="Q146" t="s">
        <v>149</v>
      </c>
      <c r="R146" t="s">
        <v>149</v>
      </c>
      <c r="S146" t="s">
        <v>149</v>
      </c>
      <c r="T146" t="s">
        <v>149</v>
      </c>
      <c r="U146" t="s">
        <v>149</v>
      </c>
      <c r="V146" t="s">
        <v>149</v>
      </c>
      <c r="W146" t="s">
        <v>149</v>
      </c>
      <c r="X146" t="s">
        <v>149</v>
      </c>
      <c r="Y146" t="s">
        <v>149</v>
      </c>
      <c r="Z146" t="s">
        <v>149</v>
      </c>
      <c r="AA146" t="s">
        <v>149</v>
      </c>
    </row>
    <row r="147" spans="1:27" x14ac:dyDescent="0.25">
      <c r="B147">
        <v>1</v>
      </c>
      <c r="C147">
        <v>1</v>
      </c>
      <c r="D147">
        <v>12</v>
      </c>
      <c r="E147">
        <v>17</v>
      </c>
      <c r="F147" t="s">
        <v>39</v>
      </c>
      <c r="G147" t="s">
        <v>23</v>
      </c>
      <c r="H147">
        <v>1</v>
      </c>
      <c r="I147">
        <v>8</v>
      </c>
      <c r="J147">
        <v>12</v>
      </c>
      <c r="K147" t="s">
        <v>304</v>
      </c>
      <c r="L147">
        <f>COUNTIF(C146:D167,B147)</f>
        <v>1</v>
      </c>
      <c r="M147">
        <f>SUM(L158)</f>
        <v>3</v>
      </c>
      <c r="N147">
        <f t="shared" ref="N147:AA148" si="118">SUM(M158)</f>
        <v>5</v>
      </c>
      <c r="O147">
        <f t="shared" si="118"/>
        <v>13</v>
      </c>
      <c r="P147">
        <f t="shared" si="118"/>
        <v>27</v>
      </c>
      <c r="Q147">
        <f t="shared" si="118"/>
        <v>66</v>
      </c>
      <c r="R147">
        <f t="shared" si="118"/>
        <v>148</v>
      </c>
      <c r="S147">
        <f t="shared" si="118"/>
        <v>354</v>
      </c>
      <c r="T147">
        <f t="shared" si="118"/>
        <v>817</v>
      </c>
      <c r="U147">
        <f t="shared" si="118"/>
        <v>1938</v>
      </c>
      <c r="V147">
        <f t="shared" si="118"/>
        <v>4533</v>
      </c>
      <c r="W147">
        <f t="shared" si="118"/>
        <v>10718</v>
      </c>
      <c r="X147">
        <f t="shared" si="118"/>
        <v>25269</v>
      </c>
      <c r="Y147">
        <f t="shared" si="118"/>
        <v>59695</v>
      </c>
      <c r="Z147">
        <f t="shared" si="118"/>
        <v>141530</v>
      </c>
      <c r="AA147">
        <f t="shared" si="118"/>
        <v>334475</v>
      </c>
    </row>
    <row r="148" spans="1:27" x14ac:dyDescent="0.25">
      <c r="B148">
        <v>2</v>
      </c>
      <c r="C148">
        <v>2</v>
      </c>
      <c r="D148">
        <v>13</v>
      </c>
      <c r="E148">
        <v>16</v>
      </c>
      <c r="F148" t="s">
        <v>39</v>
      </c>
      <c r="G148" t="s">
        <v>23</v>
      </c>
      <c r="H148">
        <v>1</v>
      </c>
      <c r="I148">
        <v>8</v>
      </c>
      <c r="J148">
        <v>13</v>
      </c>
      <c r="K148" t="s">
        <v>305</v>
      </c>
      <c r="L148">
        <f>COUNTIF(C146:D167,B148)</f>
        <v>1</v>
      </c>
      <c r="M148">
        <f>SUM(L159)</f>
        <v>3</v>
      </c>
      <c r="N148">
        <f t="shared" si="118"/>
        <v>6</v>
      </c>
      <c r="O148">
        <f t="shared" si="118"/>
        <v>14</v>
      </c>
      <c r="P148">
        <f t="shared" si="118"/>
        <v>31</v>
      </c>
      <c r="Q148">
        <f t="shared" si="118"/>
        <v>69</v>
      </c>
      <c r="R148">
        <f t="shared" si="118"/>
        <v>157</v>
      </c>
      <c r="S148">
        <f t="shared" si="118"/>
        <v>349</v>
      </c>
      <c r="T148">
        <f t="shared" si="118"/>
        <v>803</v>
      </c>
      <c r="U148">
        <f t="shared" si="118"/>
        <v>1802</v>
      </c>
      <c r="V148">
        <f t="shared" si="118"/>
        <v>4173</v>
      </c>
      <c r="W148">
        <f t="shared" si="118"/>
        <v>9471</v>
      </c>
      <c r="X148">
        <f t="shared" si="118"/>
        <v>22035</v>
      </c>
      <c r="Y148">
        <f t="shared" si="118"/>
        <v>50552</v>
      </c>
      <c r="Z148">
        <f t="shared" si="118"/>
        <v>118058</v>
      </c>
      <c r="AA148">
        <f t="shared" si="118"/>
        <v>273462</v>
      </c>
    </row>
    <row r="149" spans="1:27" x14ac:dyDescent="0.25">
      <c r="B149">
        <v>3</v>
      </c>
      <c r="C149">
        <v>3</v>
      </c>
      <c r="D149">
        <v>6</v>
      </c>
      <c r="E149">
        <v>9</v>
      </c>
      <c r="F149" t="s">
        <v>255</v>
      </c>
      <c r="G149" t="s">
        <v>21</v>
      </c>
      <c r="H149">
        <v>1</v>
      </c>
      <c r="I149">
        <v>7</v>
      </c>
      <c r="J149" t="s">
        <v>306</v>
      </c>
      <c r="K149" t="s">
        <v>307</v>
      </c>
      <c r="L149">
        <f>COUNTIF(C146:D167,B149)</f>
        <v>2</v>
      </c>
      <c r="M149">
        <f>SUM(L152,L159)</f>
        <v>6</v>
      </c>
      <c r="N149">
        <f t="shared" ref="N149:AA149" si="119">SUM(M152,M159)</f>
        <v>13</v>
      </c>
      <c r="O149">
        <f t="shared" si="119"/>
        <v>31</v>
      </c>
      <c r="P149">
        <f t="shared" si="119"/>
        <v>71</v>
      </c>
      <c r="Q149">
        <f t="shared" si="119"/>
        <v>163</v>
      </c>
      <c r="R149">
        <f t="shared" si="119"/>
        <v>379</v>
      </c>
      <c r="S149">
        <f t="shared" si="119"/>
        <v>870</v>
      </c>
      <c r="T149">
        <f t="shared" si="119"/>
        <v>2033</v>
      </c>
      <c r="U149">
        <f t="shared" si="119"/>
        <v>4701</v>
      </c>
      <c r="V149">
        <f t="shared" si="119"/>
        <v>11015</v>
      </c>
      <c r="W149">
        <f t="shared" si="119"/>
        <v>25674</v>
      </c>
      <c r="X149">
        <f t="shared" si="119"/>
        <v>60294</v>
      </c>
      <c r="Y149">
        <f t="shared" si="119"/>
        <v>141544</v>
      </c>
      <c r="Z149">
        <f t="shared" si="119"/>
        <v>333143</v>
      </c>
      <c r="AA149">
        <f t="shared" si="119"/>
        <v>786878</v>
      </c>
    </row>
    <row r="150" spans="1:27" x14ac:dyDescent="0.25">
      <c r="B150">
        <v>4</v>
      </c>
      <c r="C150">
        <v>3</v>
      </c>
      <c r="D150">
        <v>13</v>
      </c>
      <c r="E150">
        <v>7</v>
      </c>
      <c r="F150" t="s">
        <v>255</v>
      </c>
      <c r="G150" t="s">
        <v>21</v>
      </c>
      <c r="H150">
        <v>1</v>
      </c>
      <c r="I150">
        <v>7</v>
      </c>
      <c r="J150" t="s">
        <v>308</v>
      </c>
      <c r="K150" t="s">
        <v>309</v>
      </c>
      <c r="L150">
        <f>COUNTIF(C146:D167,B150)</f>
        <v>2</v>
      </c>
      <c r="M150">
        <f>SUM(L155,L156)</f>
        <v>5</v>
      </c>
      <c r="N150">
        <f t="shared" ref="N150:AA150" si="120">SUM(M155,M156)</f>
        <v>12</v>
      </c>
      <c r="O150">
        <f t="shared" si="120"/>
        <v>30</v>
      </c>
      <c r="P150">
        <f t="shared" si="120"/>
        <v>73</v>
      </c>
      <c r="Q150">
        <f t="shared" si="120"/>
        <v>181</v>
      </c>
      <c r="R150">
        <f t="shared" si="120"/>
        <v>439</v>
      </c>
      <c r="S150">
        <f t="shared" si="120"/>
        <v>1083</v>
      </c>
      <c r="T150">
        <f t="shared" si="120"/>
        <v>2617</v>
      </c>
      <c r="U150">
        <f t="shared" si="120"/>
        <v>6434</v>
      </c>
      <c r="V150">
        <f t="shared" si="120"/>
        <v>15513</v>
      </c>
      <c r="W150">
        <f t="shared" si="120"/>
        <v>38033</v>
      </c>
      <c r="X150">
        <f t="shared" si="120"/>
        <v>91605</v>
      </c>
      <c r="Y150">
        <f t="shared" si="120"/>
        <v>224042</v>
      </c>
      <c r="Z150">
        <f t="shared" si="120"/>
        <v>539416</v>
      </c>
      <c r="AA150">
        <f t="shared" si="120"/>
        <v>1316482</v>
      </c>
    </row>
    <row r="151" spans="1:27" x14ac:dyDescent="0.25">
      <c r="B151">
        <v>5</v>
      </c>
      <c r="C151">
        <v>4</v>
      </c>
      <c r="D151">
        <v>9</v>
      </c>
      <c r="E151">
        <v>5</v>
      </c>
      <c r="F151" t="s">
        <v>16</v>
      </c>
      <c r="G151" t="s">
        <v>12</v>
      </c>
      <c r="H151">
        <v>1</v>
      </c>
      <c r="I151">
        <v>6</v>
      </c>
      <c r="J151" t="s">
        <v>310</v>
      </c>
      <c r="K151" t="s">
        <v>311</v>
      </c>
      <c r="L151">
        <f>COUNTIF(C146:D167,B151)</f>
        <v>2</v>
      </c>
      <c r="M151">
        <f>SUM(L152,L153)</f>
        <v>6</v>
      </c>
      <c r="N151">
        <f t="shared" ref="N151:AA151" si="121">SUM(M152,M153)</f>
        <v>14</v>
      </c>
      <c r="O151">
        <f t="shared" si="121"/>
        <v>36</v>
      </c>
      <c r="P151">
        <f t="shared" si="121"/>
        <v>85</v>
      </c>
      <c r="Q151">
        <f t="shared" si="121"/>
        <v>210</v>
      </c>
      <c r="R151">
        <f t="shared" si="121"/>
        <v>497</v>
      </c>
      <c r="S151">
        <f t="shared" si="121"/>
        <v>1212</v>
      </c>
      <c r="T151">
        <f t="shared" si="121"/>
        <v>2871</v>
      </c>
      <c r="U151">
        <f t="shared" si="121"/>
        <v>6969</v>
      </c>
      <c r="V151">
        <f t="shared" si="121"/>
        <v>16526</v>
      </c>
      <c r="W151">
        <f t="shared" si="121"/>
        <v>40049</v>
      </c>
      <c r="X151">
        <f t="shared" si="121"/>
        <v>95096</v>
      </c>
      <c r="Y151">
        <f t="shared" si="121"/>
        <v>230342</v>
      </c>
      <c r="Z151">
        <f t="shared" si="121"/>
        <v>547724</v>
      </c>
      <c r="AA151">
        <f t="shared" si="121"/>
        <v>1326640</v>
      </c>
    </row>
    <row r="152" spans="1:27" x14ac:dyDescent="0.25">
      <c r="B152">
        <v>6</v>
      </c>
      <c r="C152">
        <v>4</v>
      </c>
      <c r="D152">
        <v>10</v>
      </c>
      <c r="E152">
        <v>4</v>
      </c>
      <c r="F152" t="s">
        <v>16</v>
      </c>
      <c r="G152" t="s">
        <v>12</v>
      </c>
      <c r="H152">
        <v>1</v>
      </c>
      <c r="I152">
        <v>6</v>
      </c>
      <c r="J152" t="s">
        <v>312</v>
      </c>
      <c r="K152" t="s">
        <v>313</v>
      </c>
      <c r="L152">
        <f>COUNTIF(C146:D167,B152)</f>
        <v>3</v>
      </c>
      <c r="M152">
        <f>SUM(L149,L151,L158)</f>
        <v>7</v>
      </c>
      <c r="N152">
        <f t="shared" ref="N152:AA152" si="122">SUM(M149,M151,M158)</f>
        <v>17</v>
      </c>
      <c r="O152">
        <f t="shared" si="122"/>
        <v>40</v>
      </c>
      <c r="P152">
        <f t="shared" si="122"/>
        <v>94</v>
      </c>
      <c r="Q152">
        <f t="shared" si="122"/>
        <v>222</v>
      </c>
      <c r="R152">
        <f t="shared" si="122"/>
        <v>521</v>
      </c>
      <c r="S152">
        <f t="shared" si="122"/>
        <v>1230</v>
      </c>
      <c r="T152">
        <f t="shared" si="122"/>
        <v>2899</v>
      </c>
      <c r="U152">
        <f t="shared" si="122"/>
        <v>6842</v>
      </c>
      <c r="V152">
        <f t="shared" si="122"/>
        <v>16203</v>
      </c>
      <c r="W152">
        <f t="shared" si="122"/>
        <v>38259</v>
      </c>
      <c r="X152">
        <f t="shared" si="122"/>
        <v>90992</v>
      </c>
      <c r="Y152">
        <f t="shared" si="122"/>
        <v>215085</v>
      </c>
      <c r="Z152">
        <f t="shared" si="122"/>
        <v>513416</v>
      </c>
      <c r="AA152">
        <f t="shared" si="122"/>
        <v>1215342</v>
      </c>
    </row>
    <row r="153" spans="1:27" x14ac:dyDescent="0.25">
      <c r="B153">
        <v>7</v>
      </c>
      <c r="C153">
        <v>5</v>
      </c>
      <c r="D153">
        <v>6</v>
      </c>
      <c r="E153">
        <v>1</v>
      </c>
      <c r="F153" t="s">
        <v>16</v>
      </c>
      <c r="G153" t="s">
        <v>12</v>
      </c>
      <c r="H153">
        <v>1</v>
      </c>
      <c r="I153">
        <v>6</v>
      </c>
      <c r="J153" t="s">
        <v>314</v>
      </c>
      <c r="K153" t="s">
        <v>315</v>
      </c>
      <c r="L153">
        <f>COUNTIF(C146:D167,B153)</f>
        <v>3</v>
      </c>
      <c r="M153">
        <f>SUM(L151,L154,L156)</f>
        <v>7</v>
      </c>
      <c r="N153">
        <f t="shared" ref="N153:AA153" si="123">SUM(M151,M154,M156)</f>
        <v>19</v>
      </c>
      <c r="O153">
        <f t="shared" si="123"/>
        <v>45</v>
      </c>
      <c r="P153">
        <f t="shared" si="123"/>
        <v>116</v>
      </c>
      <c r="Q153">
        <f t="shared" si="123"/>
        <v>275</v>
      </c>
      <c r="R153">
        <f t="shared" si="123"/>
        <v>691</v>
      </c>
      <c r="S153">
        <f t="shared" si="123"/>
        <v>1641</v>
      </c>
      <c r="T153">
        <f t="shared" si="123"/>
        <v>4070</v>
      </c>
      <c r="U153">
        <f t="shared" si="123"/>
        <v>9684</v>
      </c>
      <c r="V153">
        <f t="shared" si="123"/>
        <v>23846</v>
      </c>
      <c r="W153">
        <f t="shared" si="123"/>
        <v>56837</v>
      </c>
      <c r="X153">
        <f t="shared" si="123"/>
        <v>139350</v>
      </c>
      <c r="Y153">
        <f t="shared" si="123"/>
        <v>332639</v>
      </c>
      <c r="Z153">
        <f t="shared" si="123"/>
        <v>813224</v>
      </c>
      <c r="AA153">
        <f t="shared" si="123"/>
        <v>1943705</v>
      </c>
    </row>
    <row r="154" spans="1:27" x14ac:dyDescent="0.25">
      <c r="B154">
        <v>8</v>
      </c>
      <c r="C154">
        <v>5</v>
      </c>
      <c r="D154">
        <v>7</v>
      </c>
      <c r="E154">
        <v>2</v>
      </c>
      <c r="F154" t="s">
        <v>16</v>
      </c>
      <c r="G154" t="s">
        <v>12</v>
      </c>
      <c r="H154">
        <v>1</v>
      </c>
      <c r="I154">
        <v>6</v>
      </c>
      <c r="J154" t="s">
        <v>316</v>
      </c>
      <c r="K154" t="s">
        <v>317</v>
      </c>
      <c r="L154">
        <f>COUNTIF(C146:D167,B154)</f>
        <v>3</v>
      </c>
      <c r="M154">
        <f>SUM(L153,L155,L157)</f>
        <v>8</v>
      </c>
      <c r="N154">
        <f t="shared" ref="N154:AA154" si="124">SUM(M153,M155,M157)</f>
        <v>19</v>
      </c>
      <c r="O154">
        <f t="shared" si="124"/>
        <v>49</v>
      </c>
      <c r="P154">
        <f t="shared" si="124"/>
        <v>115</v>
      </c>
      <c r="Q154">
        <f t="shared" si="124"/>
        <v>292</v>
      </c>
      <c r="R154">
        <f t="shared" si="124"/>
        <v>688</v>
      </c>
      <c r="S154">
        <f t="shared" si="124"/>
        <v>1728</v>
      </c>
      <c r="T154">
        <f t="shared" si="124"/>
        <v>4089</v>
      </c>
      <c r="U154">
        <f t="shared" si="124"/>
        <v>10190</v>
      </c>
      <c r="V154">
        <f t="shared" si="124"/>
        <v>24193</v>
      </c>
      <c r="W154">
        <f t="shared" si="124"/>
        <v>59942</v>
      </c>
      <c r="X154">
        <f t="shared" si="124"/>
        <v>142673</v>
      </c>
      <c r="Y154">
        <f t="shared" si="124"/>
        <v>351927</v>
      </c>
      <c r="Z154">
        <f t="shared" si="124"/>
        <v>839300</v>
      </c>
      <c r="AA154">
        <f t="shared" si="124"/>
        <v>2063017</v>
      </c>
    </row>
    <row r="155" spans="1:27" x14ac:dyDescent="0.25">
      <c r="B155">
        <v>9</v>
      </c>
      <c r="C155">
        <v>6</v>
      </c>
      <c r="D155">
        <v>12</v>
      </c>
      <c r="E155">
        <v>3</v>
      </c>
      <c r="F155" t="s">
        <v>16</v>
      </c>
      <c r="G155" t="s">
        <v>12</v>
      </c>
      <c r="H155">
        <v>1</v>
      </c>
      <c r="I155">
        <v>6</v>
      </c>
      <c r="J155" t="s">
        <v>318</v>
      </c>
      <c r="K155" t="s">
        <v>319</v>
      </c>
      <c r="L155">
        <f>COUNTIF(C146:D167,B155)</f>
        <v>3</v>
      </c>
      <c r="M155">
        <f>SUM(L150,L154,L161)</f>
        <v>7</v>
      </c>
      <c r="N155">
        <f t="shared" ref="N155:AA155" si="125">SUM(M150,M154,M161)</f>
        <v>18</v>
      </c>
      <c r="O155">
        <f t="shared" si="125"/>
        <v>42</v>
      </c>
      <c r="P155">
        <f t="shared" si="125"/>
        <v>106</v>
      </c>
      <c r="Q155">
        <f t="shared" si="125"/>
        <v>250</v>
      </c>
      <c r="R155">
        <f t="shared" si="125"/>
        <v>627</v>
      </c>
      <c r="S155">
        <f t="shared" si="125"/>
        <v>1487</v>
      </c>
      <c r="T155">
        <f t="shared" si="125"/>
        <v>3710</v>
      </c>
      <c r="U155">
        <f t="shared" si="125"/>
        <v>8826</v>
      </c>
      <c r="V155">
        <f t="shared" si="125"/>
        <v>21915</v>
      </c>
      <c r="W155">
        <f t="shared" si="125"/>
        <v>52246</v>
      </c>
      <c r="X155">
        <f t="shared" si="125"/>
        <v>129172</v>
      </c>
      <c r="Y155">
        <f t="shared" si="125"/>
        <v>308461</v>
      </c>
      <c r="Z155">
        <f t="shared" si="125"/>
        <v>759801</v>
      </c>
      <c r="AA155">
        <f t="shared" si="125"/>
        <v>1816887</v>
      </c>
    </row>
    <row r="156" spans="1:27" x14ac:dyDescent="0.25">
      <c r="B156">
        <v>10</v>
      </c>
      <c r="C156">
        <v>7</v>
      </c>
      <c r="D156">
        <v>8</v>
      </c>
      <c r="E156">
        <v>6</v>
      </c>
      <c r="F156" t="s">
        <v>16</v>
      </c>
      <c r="G156" t="s">
        <v>12</v>
      </c>
      <c r="H156">
        <v>1</v>
      </c>
      <c r="I156">
        <v>6</v>
      </c>
      <c r="J156" t="s">
        <v>320</v>
      </c>
      <c r="K156" t="s">
        <v>321</v>
      </c>
      <c r="L156">
        <f>COUNTIF(C146:D167,B156)</f>
        <v>2</v>
      </c>
      <c r="M156">
        <f>SUM(L150,L153)</f>
        <v>5</v>
      </c>
      <c r="N156">
        <f t="shared" ref="N156:AA156" si="126">SUM(M150,M153)</f>
        <v>12</v>
      </c>
      <c r="O156">
        <f t="shared" si="126"/>
        <v>31</v>
      </c>
      <c r="P156">
        <f t="shared" si="126"/>
        <v>75</v>
      </c>
      <c r="Q156">
        <f t="shared" si="126"/>
        <v>189</v>
      </c>
      <c r="R156">
        <f t="shared" si="126"/>
        <v>456</v>
      </c>
      <c r="S156">
        <f t="shared" si="126"/>
        <v>1130</v>
      </c>
      <c r="T156">
        <f t="shared" si="126"/>
        <v>2724</v>
      </c>
      <c r="U156">
        <f t="shared" si="126"/>
        <v>6687</v>
      </c>
      <c r="V156">
        <f t="shared" si="126"/>
        <v>16118</v>
      </c>
      <c r="W156">
        <f t="shared" si="126"/>
        <v>39359</v>
      </c>
      <c r="X156">
        <f t="shared" si="126"/>
        <v>94870</v>
      </c>
      <c r="Y156">
        <f t="shared" si="126"/>
        <v>230955</v>
      </c>
      <c r="Z156">
        <f t="shared" si="126"/>
        <v>556681</v>
      </c>
      <c r="AA156">
        <f t="shared" si="126"/>
        <v>1352640</v>
      </c>
    </row>
    <row r="157" spans="1:27" x14ac:dyDescent="0.25">
      <c r="B157">
        <v>11</v>
      </c>
      <c r="C157">
        <v>7</v>
      </c>
      <c r="D157">
        <v>10</v>
      </c>
      <c r="E157">
        <v>8</v>
      </c>
      <c r="F157" t="s">
        <v>16</v>
      </c>
      <c r="G157" t="s">
        <v>12</v>
      </c>
      <c r="H157">
        <v>1</v>
      </c>
      <c r="I157">
        <v>6</v>
      </c>
      <c r="J157" t="s">
        <v>322</v>
      </c>
      <c r="K157" t="s">
        <v>323</v>
      </c>
      <c r="L157">
        <f>COUNTIF(C146:D167,B157)</f>
        <v>2</v>
      </c>
      <c r="M157">
        <f>SUM(L154,L162)</f>
        <v>5</v>
      </c>
      <c r="N157">
        <f t="shared" ref="N157:AA157" si="127">SUM(M154,M162)</f>
        <v>12</v>
      </c>
      <c r="O157">
        <f t="shared" si="127"/>
        <v>28</v>
      </c>
      <c r="P157">
        <f t="shared" si="127"/>
        <v>70</v>
      </c>
      <c r="Q157">
        <f t="shared" si="127"/>
        <v>163</v>
      </c>
      <c r="R157">
        <f t="shared" si="127"/>
        <v>410</v>
      </c>
      <c r="S157">
        <f t="shared" si="127"/>
        <v>961</v>
      </c>
      <c r="T157">
        <f t="shared" si="127"/>
        <v>2410</v>
      </c>
      <c r="U157">
        <f t="shared" si="127"/>
        <v>5683</v>
      </c>
      <c r="V157">
        <f t="shared" si="127"/>
        <v>14181</v>
      </c>
      <c r="W157">
        <f t="shared" si="127"/>
        <v>33590</v>
      </c>
      <c r="X157">
        <f t="shared" si="127"/>
        <v>83405</v>
      </c>
      <c r="Y157">
        <f t="shared" si="127"/>
        <v>198200</v>
      </c>
      <c r="Z157">
        <f t="shared" si="127"/>
        <v>489992</v>
      </c>
      <c r="AA157">
        <f t="shared" si="127"/>
        <v>1167210</v>
      </c>
    </row>
    <row r="158" spans="1:27" x14ac:dyDescent="0.25">
      <c r="B158">
        <v>12</v>
      </c>
      <c r="C158">
        <v>8</v>
      </c>
      <c r="D158">
        <v>9</v>
      </c>
      <c r="E158">
        <v>11</v>
      </c>
      <c r="F158" t="s">
        <v>16</v>
      </c>
      <c r="G158" t="s">
        <v>12</v>
      </c>
      <c r="H158">
        <v>1</v>
      </c>
      <c r="I158">
        <v>6</v>
      </c>
      <c r="J158" t="s">
        <v>324</v>
      </c>
      <c r="K158" t="s">
        <v>325</v>
      </c>
      <c r="L158">
        <f>COUNTIF(C146:D167,B158)</f>
        <v>3</v>
      </c>
      <c r="M158">
        <f>SUM(L147,L152,L165)</f>
        <v>5</v>
      </c>
      <c r="N158">
        <f t="shared" ref="N158:AA158" si="128">SUM(M147,M152,M165)</f>
        <v>13</v>
      </c>
      <c r="O158">
        <f t="shared" si="128"/>
        <v>27</v>
      </c>
      <c r="P158">
        <f t="shared" si="128"/>
        <v>66</v>
      </c>
      <c r="Q158">
        <f t="shared" si="128"/>
        <v>148</v>
      </c>
      <c r="R158">
        <f t="shared" si="128"/>
        <v>354</v>
      </c>
      <c r="S158">
        <f t="shared" si="128"/>
        <v>817</v>
      </c>
      <c r="T158">
        <f t="shared" si="128"/>
        <v>1938</v>
      </c>
      <c r="U158">
        <f t="shared" si="128"/>
        <v>4533</v>
      </c>
      <c r="V158">
        <f t="shared" si="128"/>
        <v>10718</v>
      </c>
      <c r="W158">
        <f t="shared" si="128"/>
        <v>25269</v>
      </c>
      <c r="X158">
        <f t="shared" si="128"/>
        <v>59695</v>
      </c>
      <c r="Y158">
        <f t="shared" si="128"/>
        <v>141530</v>
      </c>
      <c r="Z158">
        <f t="shared" si="128"/>
        <v>334475</v>
      </c>
      <c r="AA158">
        <f t="shared" si="128"/>
        <v>796476</v>
      </c>
    </row>
    <row r="159" spans="1:27" x14ac:dyDescent="0.25">
      <c r="B159">
        <v>13</v>
      </c>
      <c r="C159">
        <v>8</v>
      </c>
      <c r="D159">
        <v>11</v>
      </c>
      <c r="E159">
        <v>12</v>
      </c>
      <c r="F159" t="s">
        <v>16</v>
      </c>
      <c r="G159" t="s">
        <v>12</v>
      </c>
      <c r="H159">
        <v>1</v>
      </c>
      <c r="I159">
        <v>6</v>
      </c>
      <c r="J159" t="s">
        <v>326</v>
      </c>
      <c r="K159" t="s">
        <v>327</v>
      </c>
      <c r="L159">
        <f>COUNTIF(C146:D167,B159)</f>
        <v>3</v>
      </c>
      <c r="M159">
        <f>SUM(L148,L149,L160)</f>
        <v>6</v>
      </c>
      <c r="N159">
        <f t="shared" ref="N159:AA159" si="129">SUM(M148,M149,M160)</f>
        <v>14</v>
      </c>
      <c r="O159">
        <f t="shared" si="129"/>
        <v>31</v>
      </c>
      <c r="P159">
        <f t="shared" si="129"/>
        <v>69</v>
      </c>
      <c r="Q159">
        <f t="shared" si="129"/>
        <v>157</v>
      </c>
      <c r="R159">
        <f t="shared" si="129"/>
        <v>349</v>
      </c>
      <c r="S159">
        <f t="shared" si="129"/>
        <v>803</v>
      </c>
      <c r="T159">
        <f t="shared" si="129"/>
        <v>1802</v>
      </c>
      <c r="U159">
        <f t="shared" si="129"/>
        <v>4173</v>
      </c>
      <c r="V159">
        <f t="shared" si="129"/>
        <v>9471</v>
      </c>
      <c r="W159">
        <f t="shared" si="129"/>
        <v>22035</v>
      </c>
      <c r="X159">
        <f t="shared" si="129"/>
        <v>50552</v>
      </c>
      <c r="Y159">
        <f t="shared" si="129"/>
        <v>118058</v>
      </c>
      <c r="Z159">
        <f t="shared" si="129"/>
        <v>273462</v>
      </c>
      <c r="AA159">
        <f t="shared" si="129"/>
        <v>640717</v>
      </c>
    </row>
    <row r="160" spans="1:27" x14ac:dyDescent="0.25">
      <c r="B160">
        <v>14</v>
      </c>
      <c r="C160">
        <v>9</v>
      </c>
      <c r="D160">
        <v>15</v>
      </c>
      <c r="E160">
        <v>15</v>
      </c>
      <c r="F160" t="s">
        <v>16</v>
      </c>
      <c r="G160" t="s">
        <v>12</v>
      </c>
      <c r="H160">
        <v>1</v>
      </c>
      <c r="I160">
        <v>6</v>
      </c>
      <c r="J160" t="s">
        <v>328</v>
      </c>
      <c r="K160" t="s">
        <v>329</v>
      </c>
      <c r="L160">
        <f>COUNTIF(C146:D167,B160)</f>
        <v>3</v>
      </c>
      <c r="M160">
        <f>SUM(L159,L164,L166)</f>
        <v>5</v>
      </c>
      <c r="N160">
        <f t="shared" ref="N160:AA160" si="130">SUM(M159,M164,M166)</f>
        <v>12</v>
      </c>
      <c r="O160">
        <f t="shared" si="130"/>
        <v>24</v>
      </c>
      <c r="P160">
        <f t="shared" si="130"/>
        <v>55</v>
      </c>
      <c r="Q160">
        <f t="shared" si="130"/>
        <v>117</v>
      </c>
      <c r="R160">
        <f t="shared" si="130"/>
        <v>267</v>
      </c>
      <c r="S160">
        <f t="shared" si="130"/>
        <v>583</v>
      </c>
      <c r="T160">
        <f t="shared" si="130"/>
        <v>1337</v>
      </c>
      <c r="U160">
        <f t="shared" si="130"/>
        <v>2968</v>
      </c>
      <c r="V160">
        <f t="shared" si="130"/>
        <v>6847</v>
      </c>
      <c r="W160">
        <f t="shared" si="130"/>
        <v>15407</v>
      </c>
      <c r="X160">
        <f t="shared" si="130"/>
        <v>35729</v>
      </c>
      <c r="Y160">
        <f t="shared" si="130"/>
        <v>81366</v>
      </c>
      <c r="Z160">
        <f t="shared" si="130"/>
        <v>189516</v>
      </c>
      <c r="AA160">
        <f t="shared" si="130"/>
        <v>436194</v>
      </c>
    </row>
    <row r="161" spans="1:27" x14ac:dyDescent="0.25">
      <c r="B161">
        <v>15</v>
      </c>
      <c r="C161">
        <v>11</v>
      </c>
      <c r="D161">
        <v>16</v>
      </c>
      <c r="E161">
        <v>10</v>
      </c>
      <c r="F161" t="s">
        <v>16</v>
      </c>
      <c r="G161" t="s">
        <v>12</v>
      </c>
      <c r="H161">
        <v>1</v>
      </c>
      <c r="I161">
        <v>6</v>
      </c>
      <c r="J161" t="s">
        <v>330</v>
      </c>
      <c r="K161" t="s">
        <v>331</v>
      </c>
      <c r="L161">
        <f>COUNTIF(C146:D167,B161)</f>
        <v>2</v>
      </c>
      <c r="M161">
        <f>SUM(L155,L163)</f>
        <v>5</v>
      </c>
      <c r="N161">
        <f t="shared" ref="N161:AA161" si="131">SUM(M155,M163)</f>
        <v>11</v>
      </c>
      <c r="O161">
        <f t="shared" si="131"/>
        <v>27</v>
      </c>
      <c r="P161">
        <f t="shared" si="131"/>
        <v>62</v>
      </c>
      <c r="Q161">
        <f t="shared" si="131"/>
        <v>154</v>
      </c>
      <c r="R161">
        <f t="shared" si="131"/>
        <v>360</v>
      </c>
      <c r="S161">
        <f t="shared" si="131"/>
        <v>899</v>
      </c>
      <c r="T161">
        <f t="shared" si="131"/>
        <v>2120</v>
      </c>
      <c r="U161">
        <f t="shared" si="131"/>
        <v>5291</v>
      </c>
      <c r="V161">
        <f t="shared" si="131"/>
        <v>12540</v>
      </c>
      <c r="W161">
        <f t="shared" si="131"/>
        <v>31197</v>
      </c>
      <c r="X161">
        <f t="shared" si="131"/>
        <v>74183</v>
      </c>
      <c r="Y161">
        <f t="shared" si="131"/>
        <v>183832</v>
      </c>
      <c r="Z161">
        <f t="shared" si="131"/>
        <v>438171</v>
      </c>
      <c r="AA161">
        <f t="shared" si="131"/>
        <v>1081698</v>
      </c>
    </row>
    <row r="162" spans="1:27" x14ac:dyDescent="0.25">
      <c r="B162">
        <v>16</v>
      </c>
      <c r="C162">
        <v>12</v>
      </c>
      <c r="D162">
        <v>19</v>
      </c>
      <c r="E162">
        <v>13</v>
      </c>
      <c r="F162" t="s">
        <v>16</v>
      </c>
      <c r="G162" t="s">
        <v>12</v>
      </c>
      <c r="H162">
        <v>1</v>
      </c>
      <c r="I162">
        <v>6</v>
      </c>
      <c r="J162" t="s">
        <v>332</v>
      </c>
      <c r="K162" t="s">
        <v>333</v>
      </c>
      <c r="L162">
        <f>COUNTIF(C146:D167,B162)</f>
        <v>2</v>
      </c>
      <c r="M162">
        <f>SUM(L157,L163)</f>
        <v>4</v>
      </c>
      <c r="N162">
        <f t="shared" ref="N162:AA162" si="132">SUM(M157,M163)</f>
        <v>9</v>
      </c>
      <c r="O162">
        <f t="shared" si="132"/>
        <v>21</v>
      </c>
      <c r="P162">
        <f t="shared" si="132"/>
        <v>48</v>
      </c>
      <c r="Q162">
        <f t="shared" si="132"/>
        <v>118</v>
      </c>
      <c r="R162">
        <f t="shared" si="132"/>
        <v>273</v>
      </c>
      <c r="S162">
        <f t="shared" si="132"/>
        <v>682</v>
      </c>
      <c r="T162">
        <f t="shared" si="132"/>
        <v>1594</v>
      </c>
      <c r="U162">
        <f t="shared" si="132"/>
        <v>3991</v>
      </c>
      <c r="V162">
        <f t="shared" si="132"/>
        <v>9397</v>
      </c>
      <c r="W162">
        <f t="shared" si="132"/>
        <v>23463</v>
      </c>
      <c r="X162">
        <f t="shared" si="132"/>
        <v>55527</v>
      </c>
      <c r="Y162">
        <f t="shared" si="132"/>
        <v>138065</v>
      </c>
      <c r="Z162">
        <f t="shared" si="132"/>
        <v>327910</v>
      </c>
      <c r="AA162">
        <f t="shared" si="132"/>
        <v>811889</v>
      </c>
    </row>
    <row r="163" spans="1:27" x14ac:dyDescent="0.25">
      <c r="B163">
        <v>17</v>
      </c>
      <c r="C163">
        <v>13</v>
      </c>
      <c r="D163">
        <v>14</v>
      </c>
      <c r="E163">
        <v>14</v>
      </c>
      <c r="F163" t="s">
        <v>16</v>
      </c>
      <c r="G163" t="s">
        <v>12</v>
      </c>
      <c r="H163">
        <v>1</v>
      </c>
      <c r="I163">
        <v>6</v>
      </c>
      <c r="J163" t="s">
        <v>334</v>
      </c>
      <c r="K163" t="s">
        <v>335</v>
      </c>
      <c r="L163">
        <f>COUNTIF(C146:D167,B163)</f>
        <v>2</v>
      </c>
      <c r="M163">
        <f>SUM(L161,L162)</f>
        <v>4</v>
      </c>
      <c r="N163">
        <f t="shared" ref="N163:AA163" si="133">SUM(M161,M162)</f>
        <v>9</v>
      </c>
      <c r="O163">
        <f t="shared" si="133"/>
        <v>20</v>
      </c>
      <c r="P163">
        <f t="shared" si="133"/>
        <v>48</v>
      </c>
      <c r="Q163">
        <f t="shared" si="133"/>
        <v>110</v>
      </c>
      <c r="R163">
        <f t="shared" si="133"/>
        <v>272</v>
      </c>
      <c r="S163">
        <f t="shared" si="133"/>
        <v>633</v>
      </c>
      <c r="T163">
        <f t="shared" si="133"/>
        <v>1581</v>
      </c>
      <c r="U163">
        <f t="shared" si="133"/>
        <v>3714</v>
      </c>
      <c r="V163">
        <f t="shared" si="133"/>
        <v>9282</v>
      </c>
      <c r="W163">
        <f t="shared" si="133"/>
        <v>21937</v>
      </c>
      <c r="X163">
        <f t="shared" si="133"/>
        <v>54660</v>
      </c>
      <c r="Y163">
        <f t="shared" si="133"/>
        <v>129710</v>
      </c>
      <c r="Z163">
        <f t="shared" si="133"/>
        <v>321897</v>
      </c>
      <c r="AA163">
        <f t="shared" si="133"/>
        <v>766081</v>
      </c>
    </row>
    <row r="164" spans="1:27" x14ac:dyDescent="0.25">
      <c r="B164">
        <v>18</v>
      </c>
      <c r="C164">
        <v>14</v>
      </c>
      <c r="D164">
        <v>18</v>
      </c>
      <c r="E164">
        <v>20</v>
      </c>
      <c r="F164" t="s">
        <v>16</v>
      </c>
      <c r="G164" t="s">
        <v>12</v>
      </c>
      <c r="H164">
        <v>1</v>
      </c>
      <c r="I164">
        <v>6</v>
      </c>
      <c r="J164">
        <v>14</v>
      </c>
      <c r="K164" t="s">
        <v>336</v>
      </c>
      <c r="L164">
        <f>COUNTIF(C146:D167,B164)</f>
        <v>1</v>
      </c>
      <c r="M164">
        <f>SUM(L160)</f>
        <v>3</v>
      </c>
      <c r="N164">
        <f t="shared" ref="N164:AA164" si="134">SUM(M160)</f>
        <v>5</v>
      </c>
      <c r="O164">
        <f t="shared" si="134"/>
        <v>12</v>
      </c>
      <c r="P164">
        <f t="shared" si="134"/>
        <v>24</v>
      </c>
      <c r="Q164">
        <f t="shared" si="134"/>
        <v>55</v>
      </c>
      <c r="R164">
        <f t="shared" si="134"/>
        <v>117</v>
      </c>
      <c r="S164">
        <f t="shared" si="134"/>
        <v>267</v>
      </c>
      <c r="T164">
        <f t="shared" si="134"/>
        <v>583</v>
      </c>
      <c r="U164">
        <f t="shared" si="134"/>
        <v>1337</v>
      </c>
      <c r="V164">
        <f t="shared" si="134"/>
        <v>2968</v>
      </c>
      <c r="W164">
        <f t="shared" si="134"/>
        <v>6847</v>
      </c>
      <c r="X164">
        <f t="shared" si="134"/>
        <v>15407</v>
      </c>
      <c r="Y164">
        <f t="shared" si="134"/>
        <v>35729</v>
      </c>
      <c r="Z164">
        <f t="shared" si="134"/>
        <v>81366</v>
      </c>
      <c r="AA164">
        <f t="shared" si="134"/>
        <v>189516</v>
      </c>
    </row>
    <row r="165" spans="1:27" x14ac:dyDescent="0.25">
      <c r="B165">
        <v>19</v>
      </c>
      <c r="C165">
        <v>14</v>
      </c>
      <c r="D165">
        <v>20</v>
      </c>
      <c r="E165">
        <v>18</v>
      </c>
      <c r="F165" t="s">
        <v>39</v>
      </c>
      <c r="G165" t="s">
        <v>23</v>
      </c>
      <c r="H165">
        <v>1</v>
      </c>
      <c r="I165">
        <v>8</v>
      </c>
      <c r="J165">
        <v>12</v>
      </c>
      <c r="K165" t="s">
        <v>304</v>
      </c>
      <c r="L165">
        <f>COUNTIF(C146:D167,B165)</f>
        <v>1</v>
      </c>
      <c r="M165">
        <f>SUM(L158)</f>
        <v>3</v>
      </c>
      <c r="N165">
        <f t="shared" ref="N165:AA165" si="135">SUM(M158)</f>
        <v>5</v>
      </c>
      <c r="O165">
        <f t="shared" si="135"/>
        <v>13</v>
      </c>
      <c r="P165">
        <f t="shared" si="135"/>
        <v>27</v>
      </c>
      <c r="Q165">
        <f t="shared" si="135"/>
        <v>66</v>
      </c>
      <c r="R165">
        <f t="shared" si="135"/>
        <v>148</v>
      </c>
      <c r="S165">
        <f t="shared" si="135"/>
        <v>354</v>
      </c>
      <c r="T165">
        <f t="shared" si="135"/>
        <v>817</v>
      </c>
      <c r="U165">
        <f t="shared" si="135"/>
        <v>1938</v>
      </c>
      <c r="V165">
        <f t="shared" si="135"/>
        <v>4533</v>
      </c>
      <c r="W165">
        <f t="shared" si="135"/>
        <v>10718</v>
      </c>
      <c r="X165">
        <f t="shared" si="135"/>
        <v>25269</v>
      </c>
      <c r="Y165">
        <f t="shared" si="135"/>
        <v>59695</v>
      </c>
      <c r="Z165">
        <f t="shared" si="135"/>
        <v>141530</v>
      </c>
      <c r="AA165">
        <f t="shared" si="135"/>
        <v>334475</v>
      </c>
    </row>
    <row r="166" spans="1:27" x14ac:dyDescent="0.25">
      <c r="B166">
        <v>20</v>
      </c>
      <c r="C166">
        <v>15</v>
      </c>
      <c r="D166">
        <v>17</v>
      </c>
      <c r="E166">
        <v>19</v>
      </c>
      <c r="F166" t="s">
        <v>255</v>
      </c>
      <c r="G166" t="s">
        <v>21</v>
      </c>
      <c r="H166">
        <v>1</v>
      </c>
      <c r="I166">
        <v>7</v>
      </c>
      <c r="J166">
        <v>14</v>
      </c>
      <c r="K166" t="s">
        <v>336</v>
      </c>
      <c r="L166">
        <f>COUNTIF(C146:D167,B166)</f>
        <v>1</v>
      </c>
      <c r="M166">
        <f>SUM(L160)</f>
        <v>3</v>
      </c>
      <c r="N166">
        <f t="shared" ref="N166:AA166" si="136">SUM(M160)</f>
        <v>5</v>
      </c>
      <c r="O166">
        <f t="shared" si="136"/>
        <v>12</v>
      </c>
      <c r="P166">
        <f t="shared" si="136"/>
        <v>24</v>
      </c>
      <c r="Q166">
        <f t="shared" si="136"/>
        <v>55</v>
      </c>
      <c r="R166">
        <f t="shared" si="136"/>
        <v>117</v>
      </c>
      <c r="S166">
        <f t="shared" si="136"/>
        <v>267</v>
      </c>
      <c r="T166">
        <f t="shared" si="136"/>
        <v>583</v>
      </c>
      <c r="U166">
        <f t="shared" si="136"/>
        <v>1337</v>
      </c>
      <c r="V166">
        <f t="shared" si="136"/>
        <v>2968</v>
      </c>
      <c r="W166">
        <f t="shared" si="136"/>
        <v>6847</v>
      </c>
      <c r="X166">
        <f t="shared" si="136"/>
        <v>15407</v>
      </c>
      <c r="Y166">
        <f t="shared" si="136"/>
        <v>35729</v>
      </c>
      <c r="Z166">
        <f t="shared" si="136"/>
        <v>81366</v>
      </c>
      <c r="AA166">
        <f t="shared" si="136"/>
        <v>189516</v>
      </c>
    </row>
    <row r="167" spans="1:27" x14ac:dyDescent="0.25">
      <c r="B167">
        <v>21</v>
      </c>
      <c r="C167">
        <v>16</v>
      </c>
      <c r="D167">
        <v>17</v>
      </c>
      <c r="E167">
        <v>21</v>
      </c>
    </row>
    <row r="168" spans="1:27" x14ac:dyDescent="0.25">
      <c r="M168">
        <f>SUM(IF(FREQUENCY(M147:M166,M147:M166)&gt;0,1))</f>
        <v>6</v>
      </c>
      <c r="N168">
        <f t="shared" ref="N168:AA168" si="137">SUM(IF(FREQUENCY(N147:N166,N147:N166)&gt;0,1))</f>
        <v>10</v>
      </c>
      <c r="O168">
        <f t="shared" si="137"/>
        <v>15</v>
      </c>
      <c r="P168">
        <f t="shared" si="137"/>
        <v>17</v>
      </c>
      <c r="Q168">
        <f t="shared" si="137"/>
        <v>17</v>
      </c>
      <c r="R168">
        <f t="shared" si="137"/>
        <v>18</v>
      </c>
      <c r="S168">
        <f t="shared" si="137"/>
        <v>18</v>
      </c>
      <c r="T168">
        <f t="shared" si="137"/>
        <v>18</v>
      </c>
      <c r="U168">
        <f t="shared" si="137"/>
        <v>18</v>
      </c>
      <c r="V168">
        <f t="shared" si="137"/>
        <v>18</v>
      </c>
      <c r="W168">
        <f t="shared" si="137"/>
        <v>18</v>
      </c>
      <c r="X168">
        <f t="shared" si="137"/>
        <v>18</v>
      </c>
      <c r="Y168">
        <f t="shared" si="137"/>
        <v>18</v>
      </c>
      <c r="Z168">
        <f t="shared" si="137"/>
        <v>18</v>
      </c>
      <c r="AA168">
        <f t="shared" si="137"/>
        <v>18</v>
      </c>
    </row>
    <row r="169" spans="1:27" x14ac:dyDescent="0.25">
      <c r="A169">
        <v>1</v>
      </c>
      <c r="E169" t="s">
        <v>142</v>
      </c>
      <c r="F169" t="s">
        <v>143</v>
      </c>
      <c r="G169" t="s">
        <v>1</v>
      </c>
      <c r="H169" t="s">
        <v>144</v>
      </c>
      <c r="I169" t="s">
        <v>145</v>
      </c>
      <c r="J169" t="s">
        <v>146</v>
      </c>
      <c r="K169" t="s">
        <v>147</v>
      </c>
      <c r="L169" t="s">
        <v>148</v>
      </c>
      <c r="M169" t="s">
        <v>149</v>
      </c>
      <c r="N169" t="s">
        <v>149</v>
      </c>
      <c r="O169" t="s">
        <v>149</v>
      </c>
      <c r="P169" t="s">
        <v>149</v>
      </c>
      <c r="Q169" t="s">
        <v>149</v>
      </c>
      <c r="R169" t="s">
        <v>149</v>
      </c>
      <c r="S169" t="s">
        <v>149</v>
      </c>
      <c r="T169" t="s">
        <v>149</v>
      </c>
      <c r="U169" t="s">
        <v>149</v>
      </c>
      <c r="V169" t="s">
        <v>149</v>
      </c>
    </row>
    <row r="170" spans="1:27" x14ac:dyDescent="0.25">
      <c r="B170">
        <v>1</v>
      </c>
      <c r="C170">
        <v>1</v>
      </c>
      <c r="D170">
        <v>5</v>
      </c>
      <c r="E170">
        <v>3</v>
      </c>
      <c r="F170" t="s">
        <v>19</v>
      </c>
      <c r="G170" t="s">
        <v>20</v>
      </c>
      <c r="H170">
        <v>1</v>
      </c>
      <c r="I170">
        <v>17</v>
      </c>
      <c r="J170">
        <v>5</v>
      </c>
      <c r="K170" t="s">
        <v>166</v>
      </c>
      <c r="L170">
        <f>COUNTIF(C169:D175,B170)</f>
        <v>1</v>
      </c>
      <c r="M170">
        <f>SUM(L174)</f>
        <v>4</v>
      </c>
      <c r="N170">
        <f t="shared" ref="N170:V170" si="138">SUM(M174)</f>
        <v>6</v>
      </c>
      <c r="O170">
        <f t="shared" si="138"/>
        <v>18</v>
      </c>
      <c r="P170">
        <f t="shared" si="138"/>
        <v>30</v>
      </c>
      <c r="Q170">
        <f t="shared" si="138"/>
        <v>84</v>
      </c>
      <c r="R170">
        <f t="shared" si="138"/>
        <v>144</v>
      </c>
      <c r="S170">
        <f t="shared" si="138"/>
        <v>396</v>
      </c>
      <c r="T170">
        <f t="shared" si="138"/>
        <v>684</v>
      </c>
      <c r="U170">
        <f t="shared" si="138"/>
        <v>1872</v>
      </c>
      <c r="V170">
        <f t="shared" si="138"/>
        <v>3240</v>
      </c>
    </row>
    <row r="171" spans="1:27" x14ac:dyDescent="0.25">
      <c r="B171">
        <v>2</v>
      </c>
      <c r="C171">
        <v>2</v>
      </c>
      <c r="D171">
        <v>5</v>
      </c>
      <c r="E171">
        <v>4</v>
      </c>
      <c r="F171" t="s">
        <v>19</v>
      </c>
      <c r="G171" t="s">
        <v>20</v>
      </c>
      <c r="H171">
        <v>1</v>
      </c>
      <c r="I171">
        <v>17</v>
      </c>
      <c r="J171">
        <v>5</v>
      </c>
      <c r="K171" t="s">
        <v>166</v>
      </c>
      <c r="L171">
        <f>COUNTIF(C169:D175,B171)</f>
        <v>1</v>
      </c>
      <c r="M171">
        <f>SUM(L174)</f>
        <v>4</v>
      </c>
      <c r="N171">
        <f t="shared" ref="N171:V171" si="139">SUM(M174)</f>
        <v>6</v>
      </c>
      <c r="O171">
        <f t="shared" si="139"/>
        <v>18</v>
      </c>
      <c r="P171">
        <f t="shared" si="139"/>
        <v>30</v>
      </c>
      <c r="Q171">
        <f t="shared" si="139"/>
        <v>84</v>
      </c>
      <c r="R171">
        <f t="shared" si="139"/>
        <v>144</v>
      </c>
      <c r="S171">
        <f t="shared" si="139"/>
        <v>396</v>
      </c>
      <c r="T171">
        <f t="shared" si="139"/>
        <v>684</v>
      </c>
      <c r="U171">
        <f t="shared" si="139"/>
        <v>1872</v>
      </c>
      <c r="V171">
        <f t="shared" si="139"/>
        <v>3240</v>
      </c>
    </row>
    <row r="172" spans="1:27" x14ac:dyDescent="0.25">
      <c r="B172">
        <v>3</v>
      </c>
      <c r="C172">
        <v>3</v>
      </c>
      <c r="D172">
        <v>5</v>
      </c>
      <c r="E172">
        <v>5</v>
      </c>
      <c r="F172" t="s">
        <v>19</v>
      </c>
      <c r="G172" t="s">
        <v>20</v>
      </c>
      <c r="H172">
        <v>1</v>
      </c>
      <c r="I172">
        <v>17</v>
      </c>
      <c r="J172">
        <v>5</v>
      </c>
      <c r="K172" t="s">
        <v>166</v>
      </c>
      <c r="L172">
        <f>COUNTIF(C169:D175,B172)</f>
        <v>1</v>
      </c>
      <c r="M172">
        <f>SUM(L174)</f>
        <v>4</v>
      </c>
      <c r="N172">
        <f t="shared" ref="N172:V173" si="140">SUM(M174)</f>
        <v>6</v>
      </c>
      <c r="O172">
        <f t="shared" si="140"/>
        <v>18</v>
      </c>
      <c r="P172">
        <f t="shared" si="140"/>
        <v>30</v>
      </c>
      <c r="Q172">
        <f t="shared" si="140"/>
        <v>84</v>
      </c>
      <c r="R172">
        <f t="shared" si="140"/>
        <v>144</v>
      </c>
      <c r="S172">
        <f t="shared" si="140"/>
        <v>396</v>
      </c>
      <c r="T172">
        <f t="shared" si="140"/>
        <v>684</v>
      </c>
      <c r="U172">
        <f t="shared" si="140"/>
        <v>1872</v>
      </c>
      <c r="V172">
        <f t="shared" si="140"/>
        <v>3240</v>
      </c>
    </row>
    <row r="173" spans="1:27" x14ac:dyDescent="0.25">
      <c r="B173">
        <v>4</v>
      </c>
      <c r="C173">
        <v>4</v>
      </c>
      <c r="D173">
        <v>6</v>
      </c>
      <c r="E173">
        <v>6</v>
      </c>
      <c r="F173" t="s">
        <v>39</v>
      </c>
      <c r="G173" t="s">
        <v>23</v>
      </c>
      <c r="H173">
        <v>1</v>
      </c>
      <c r="I173">
        <v>8</v>
      </c>
      <c r="J173">
        <v>6</v>
      </c>
      <c r="K173" t="s">
        <v>337</v>
      </c>
      <c r="L173">
        <f>COUNTIF(C169:D175,B173)</f>
        <v>1</v>
      </c>
      <c r="M173">
        <f>SUM(L175)</f>
        <v>3</v>
      </c>
      <c r="N173">
        <f t="shared" si="140"/>
        <v>6</v>
      </c>
      <c r="O173">
        <f t="shared" si="140"/>
        <v>12</v>
      </c>
      <c r="P173">
        <f t="shared" si="140"/>
        <v>30</v>
      </c>
      <c r="Q173">
        <f t="shared" si="140"/>
        <v>54</v>
      </c>
      <c r="R173">
        <f t="shared" si="140"/>
        <v>144</v>
      </c>
      <c r="S173">
        <f t="shared" si="140"/>
        <v>252</v>
      </c>
      <c r="T173">
        <f t="shared" si="140"/>
        <v>684</v>
      </c>
      <c r="U173">
        <f t="shared" si="140"/>
        <v>1188</v>
      </c>
      <c r="V173">
        <f t="shared" si="140"/>
        <v>3240</v>
      </c>
    </row>
    <row r="174" spans="1:27" x14ac:dyDescent="0.25">
      <c r="B174">
        <v>5</v>
      </c>
      <c r="C174">
        <v>5</v>
      </c>
      <c r="D174">
        <v>6</v>
      </c>
      <c r="E174">
        <v>1</v>
      </c>
      <c r="F174" t="s">
        <v>16</v>
      </c>
      <c r="G174" t="s">
        <v>12</v>
      </c>
      <c r="H174">
        <v>1</v>
      </c>
      <c r="I174">
        <v>6</v>
      </c>
      <c r="J174" t="s">
        <v>338</v>
      </c>
      <c r="K174" t="s">
        <v>339</v>
      </c>
      <c r="L174">
        <f>COUNTIF(C169:D175,B174)</f>
        <v>4</v>
      </c>
      <c r="M174">
        <f>SUM(L170,L171,L172,L175)</f>
        <v>6</v>
      </c>
      <c r="N174">
        <f t="shared" ref="N174:V174" si="141">SUM(M170,M171,M172,M175)</f>
        <v>18</v>
      </c>
      <c r="O174">
        <f t="shared" si="141"/>
        <v>30</v>
      </c>
      <c r="P174">
        <f t="shared" si="141"/>
        <v>84</v>
      </c>
      <c r="Q174">
        <f t="shared" si="141"/>
        <v>144</v>
      </c>
      <c r="R174">
        <f t="shared" si="141"/>
        <v>396</v>
      </c>
      <c r="S174">
        <f t="shared" si="141"/>
        <v>684</v>
      </c>
      <c r="T174">
        <f t="shared" si="141"/>
        <v>1872</v>
      </c>
      <c r="U174">
        <f t="shared" si="141"/>
        <v>3240</v>
      </c>
      <c r="V174">
        <f t="shared" si="141"/>
        <v>8856</v>
      </c>
    </row>
    <row r="175" spans="1:27" x14ac:dyDescent="0.25">
      <c r="B175">
        <v>6</v>
      </c>
      <c r="C175">
        <v>6</v>
      </c>
      <c r="D175">
        <v>7</v>
      </c>
      <c r="E175">
        <v>2</v>
      </c>
      <c r="F175" t="s">
        <v>16</v>
      </c>
      <c r="G175" t="s">
        <v>12</v>
      </c>
      <c r="H175">
        <v>1</v>
      </c>
      <c r="I175">
        <v>6</v>
      </c>
      <c r="J175" t="s">
        <v>340</v>
      </c>
      <c r="K175" t="s">
        <v>341</v>
      </c>
      <c r="L175">
        <f>COUNTIF(C169:D175,B175)</f>
        <v>3</v>
      </c>
      <c r="M175">
        <f>SUM(L173,L174,L176)</f>
        <v>6</v>
      </c>
      <c r="N175">
        <f t="shared" ref="N175:V175" si="142">SUM(M173,M174,M176)</f>
        <v>12</v>
      </c>
      <c r="O175">
        <f t="shared" si="142"/>
        <v>30</v>
      </c>
      <c r="P175">
        <f t="shared" si="142"/>
        <v>54</v>
      </c>
      <c r="Q175">
        <f t="shared" si="142"/>
        <v>144</v>
      </c>
      <c r="R175">
        <f t="shared" si="142"/>
        <v>252</v>
      </c>
      <c r="S175">
        <f t="shared" si="142"/>
        <v>684</v>
      </c>
      <c r="T175">
        <f t="shared" si="142"/>
        <v>1188</v>
      </c>
      <c r="U175">
        <f t="shared" si="142"/>
        <v>3240</v>
      </c>
      <c r="V175">
        <f t="shared" si="142"/>
        <v>5616</v>
      </c>
    </row>
    <row r="176" spans="1:27" x14ac:dyDescent="0.25">
      <c r="B176">
        <v>7</v>
      </c>
      <c r="E176">
        <v>7</v>
      </c>
      <c r="F176" t="s">
        <v>16</v>
      </c>
      <c r="G176" t="s">
        <v>12</v>
      </c>
      <c r="H176">
        <v>1</v>
      </c>
      <c r="I176">
        <v>6</v>
      </c>
      <c r="J176">
        <v>6</v>
      </c>
      <c r="K176" t="s">
        <v>337</v>
      </c>
      <c r="L176">
        <f>COUNTIF(C169:D175,B176)</f>
        <v>1</v>
      </c>
      <c r="M176">
        <f>SUM(L175)</f>
        <v>3</v>
      </c>
      <c r="N176">
        <f t="shared" ref="N176:V176" si="143">SUM(M175)</f>
        <v>6</v>
      </c>
      <c r="O176">
        <f t="shared" si="143"/>
        <v>12</v>
      </c>
      <c r="P176">
        <f t="shared" si="143"/>
        <v>30</v>
      </c>
      <c r="Q176">
        <f t="shared" si="143"/>
        <v>54</v>
      </c>
      <c r="R176">
        <f t="shared" si="143"/>
        <v>144</v>
      </c>
      <c r="S176">
        <f t="shared" si="143"/>
        <v>252</v>
      </c>
      <c r="T176">
        <f t="shared" si="143"/>
        <v>684</v>
      </c>
      <c r="U176">
        <f t="shared" si="143"/>
        <v>1188</v>
      </c>
      <c r="V176">
        <f t="shared" si="143"/>
        <v>3240</v>
      </c>
    </row>
    <row r="178" spans="1:27" x14ac:dyDescent="0.25">
      <c r="M178">
        <f>SUM(IF(FREQUENCY(M170:M176,M170:M176)&gt;0,1))</f>
        <v>3</v>
      </c>
      <c r="N178">
        <f t="shared" ref="N178:V178" si="144">SUM(IF(FREQUENCY(N170:N176,N170:N176)&gt;0,1))</f>
        <v>3</v>
      </c>
      <c r="O178">
        <f t="shared" si="144"/>
        <v>3</v>
      </c>
      <c r="P178">
        <f t="shared" si="144"/>
        <v>3</v>
      </c>
      <c r="Q178">
        <f t="shared" si="144"/>
        <v>3</v>
      </c>
      <c r="R178">
        <f t="shared" si="144"/>
        <v>3</v>
      </c>
      <c r="S178">
        <f t="shared" si="144"/>
        <v>3</v>
      </c>
      <c r="T178">
        <f t="shared" si="144"/>
        <v>3</v>
      </c>
      <c r="U178">
        <f t="shared" si="144"/>
        <v>3</v>
      </c>
      <c r="V178">
        <f t="shared" si="144"/>
        <v>3</v>
      </c>
    </row>
    <row r="179" spans="1:27" x14ac:dyDescent="0.25">
      <c r="A179">
        <v>190</v>
      </c>
      <c r="E179" t="s">
        <v>142</v>
      </c>
      <c r="F179" t="s">
        <v>143</v>
      </c>
      <c r="G179" t="s">
        <v>1</v>
      </c>
      <c r="H179" t="s">
        <v>144</v>
      </c>
      <c r="I179" t="s">
        <v>145</v>
      </c>
      <c r="J179" t="s">
        <v>146</v>
      </c>
      <c r="K179" t="s">
        <v>147</v>
      </c>
      <c r="L179" t="s">
        <v>148</v>
      </c>
      <c r="M179" t="s">
        <v>149</v>
      </c>
      <c r="N179" t="s">
        <v>149</v>
      </c>
      <c r="O179" t="s">
        <v>149</v>
      </c>
      <c r="P179" t="s">
        <v>149</v>
      </c>
      <c r="Q179" t="s">
        <v>149</v>
      </c>
      <c r="R179" t="s">
        <v>149</v>
      </c>
      <c r="S179" t="s">
        <v>149</v>
      </c>
      <c r="T179" t="s">
        <v>149</v>
      </c>
      <c r="U179" t="s">
        <v>149</v>
      </c>
      <c r="V179" t="s">
        <v>149</v>
      </c>
      <c r="W179" t="s">
        <v>149</v>
      </c>
      <c r="X179" t="s">
        <v>149</v>
      </c>
      <c r="Y179" t="s">
        <v>149</v>
      </c>
      <c r="Z179" t="s">
        <v>149</v>
      </c>
      <c r="AA179" t="s">
        <v>149</v>
      </c>
    </row>
    <row r="180" spans="1:27" x14ac:dyDescent="0.25">
      <c r="B180">
        <v>1</v>
      </c>
      <c r="C180">
        <v>1</v>
      </c>
      <c r="D180">
        <v>10</v>
      </c>
      <c r="E180">
        <v>18</v>
      </c>
      <c r="F180" t="s">
        <v>39</v>
      </c>
      <c r="G180" t="s">
        <v>23</v>
      </c>
      <c r="H180">
        <v>1</v>
      </c>
      <c r="I180">
        <v>8</v>
      </c>
      <c r="J180">
        <v>10</v>
      </c>
      <c r="K180" t="s">
        <v>342</v>
      </c>
      <c r="L180">
        <f>COUNTIF(C179:D208,B180)</f>
        <v>1</v>
      </c>
      <c r="M180">
        <f>SUM(L189)</f>
        <v>4</v>
      </c>
      <c r="N180">
        <f t="shared" ref="N180:AA180" si="145">SUM(M189)</f>
        <v>10</v>
      </c>
      <c r="O180">
        <f t="shared" si="145"/>
        <v>27</v>
      </c>
      <c r="P180">
        <f t="shared" si="145"/>
        <v>72</v>
      </c>
      <c r="Q180">
        <f t="shared" si="145"/>
        <v>188</v>
      </c>
      <c r="R180">
        <f t="shared" si="145"/>
        <v>513</v>
      </c>
      <c r="S180">
        <f t="shared" si="145"/>
        <v>1328</v>
      </c>
      <c r="T180">
        <f t="shared" si="145"/>
        <v>3670</v>
      </c>
      <c r="U180">
        <f t="shared" si="145"/>
        <v>9467</v>
      </c>
      <c r="V180">
        <f t="shared" si="145"/>
        <v>26331</v>
      </c>
      <c r="W180">
        <f t="shared" si="145"/>
        <v>67814</v>
      </c>
      <c r="X180">
        <f t="shared" si="145"/>
        <v>189109</v>
      </c>
      <c r="Y180">
        <f t="shared" si="145"/>
        <v>486766</v>
      </c>
      <c r="Z180">
        <f t="shared" si="145"/>
        <v>1358020</v>
      </c>
      <c r="AA180">
        <f t="shared" si="145"/>
        <v>3495832</v>
      </c>
    </row>
    <row r="181" spans="1:27" x14ac:dyDescent="0.25">
      <c r="B181">
        <v>2</v>
      </c>
      <c r="C181">
        <v>2</v>
      </c>
      <c r="D181">
        <v>13</v>
      </c>
      <c r="E181">
        <v>22</v>
      </c>
      <c r="F181" t="s">
        <v>39</v>
      </c>
      <c r="G181" t="s">
        <v>23</v>
      </c>
      <c r="H181">
        <v>1</v>
      </c>
      <c r="I181">
        <v>8</v>
      </c>
      <c r="J181">
        <v>13</v>
      </c>
      <c r="K181" t="s">
        <v>305</v>
      </c>
      <c r="L181">
        <f>COUNTIF(C179:D208,B181)</f>
        <v>1</v>
      </c>
      <c r="M181">
        <f>SUM(L192)</f>
        <v>3</v>
      </c>
      <c r="N181">
        <f t="shared" ref="N181:AA181" si="146">SUM(M192)</f>
        <v>6</v>
      </c>
      <c r="O181">
        <f t="shared" si="146"/>
        <v>20</v>
      </c>
      <c r="P181">
        <f t="shared" si="146"/>
        <v>45</v>
      </c>
      <c r="Q181">
        <f t="shared" si="146"/>
        <v>142</v>
      </c>
      <c r="R181">
        <f t="shared" si="146"/>
        <v>336</v>
      </c>
      <c r="S181">
        <f t="shared" si="146"/>
        <v>1018</v>
      </c>
      <c r="T181">
        <f t="shared" si="146"/>
        <v>2464</v>
      </c>
      <c r="U181">
        <f t="shared" si="146"/>
        <v>7287</v>
      </c>
      <c r="V181">
        <f t="shared" si="146"/>
        <v>17845</v>
      </c>
      <c r="W181">
        <f t="shared" si="146"/>
        <v>52021</v>
      </c>
      <c r="X181">
        <f t="shared" si="146"/>
        <v>128301</v>
      </c>
      <c r="Y181">
        <f t="shared" si="146"/>
        <v>370653</v>
      </c>
      <c r="Z181">
        <f t="shared" si="146"/>
        <v>918788</v>
      </c>
      <c r="AA181">
        <f t="shared" si="146"/>
        <v>2638057</v>
      </c>
    </row>
    <row r="182" spans="1:27" x14ac:dyDescent="0.25">
      <c r="B182">
        <v>3</v>
      </c>
      <c r="C182">
        <v>3</v>
      </c>
      <c r="D182">
        <v>20</v>
      </c>
      <c r="E182">
        <v>24</v>
      </c>
      <c r="F182" t="s">
        <v>39</v>
      </c>
      <c r="G182" t="s">
        <v>23</v>
      </c>
      <c r="H182">
        <v>1</v>
      </c>
      <c r="I182">
        <v>8</v>
      </c>
      <c r="J182">
        <v>20</v>
      </c>
      <c r="K182" t="s">
        <v>343</v>
      </c>
      <c r="L182">
        <f>COUNTIF(C179:D208,B182)</f>
        <v>1</v>
      </c>
      <c r="M182">
        <f>SUM(L199)</f>
        <v>3</v>
      </c>
      <c r="N182">
        <f t="shared" ref="N182:AA182" si="147">SUM(M199)</f>
        <v>7</v>
      </c>
      <c r="O182">
        <f t="shared" si="147"/>
        <v>17</v>
      </c>
      <c r="P182">
        <f t="shared" si="147"/>
        <v>43</v>
      </c>
      <c r="Q182">
        <f t="shared" si="147"/>
        <v>110</v>
      </c>
      <c r="R182">
        <f t="shared" si="147"/>
        <v>283</v>
      </c>
      <c r="S182">
        <f t="shared" si="147"/>
        <v>754</v>
      </c>
      <c r="T182">
        <f t="shared" si="147"/>
        <v>1946</v>
      </c>
      <c r="U182">
        <f t="shared" si="147"/>
        <v>5309</v>
      </c>
      <c r="V182">
        <f t="shared" si="147"/>
        <v>13694</v>
      </c>
      <c r="W182">
        <f t="shared" si="147"/>
        <v>37834</v>
      </c>
      <c r="X182">
        <f t="shared" si="147"/>
        <v>97483</v>
      </c>
      <c r="Y182">
        <f t="shared" si="147"/>
        <v>270971</v>
      </c>
      <c r="Z182">
        <f t="shared" si="147"/>
        <v>697707</v>
      </c>
      <c r="AA182">
        <f t="shared" si="147"/>
        <v>1943990</v>
      </c>
    </row>
    <row r="183" spans="1:27" x14ac:dyDescent="0.25">
      <c r="B183">
        <v>4</v>
      </c>
      <c r="C183">
        <v>4</v>
      </c>
      <c r="D183">
        <v>24</v>
      </c>
      <c r="E183">
        <v>26</v>
      </c>
      <c r="F183" t="s">
        <v>39</v>
      </c>
      <c r="G183" t="s">
        <v>23</v>
      </c>
      <c r="H183">
        <v>1</v>
      </c>
      <c r="I183">
        <v>8</v>
      </c>
      <c r="J183">
        <v>24</v>
      </c>
      <c r="K183" t="s">
        <v>344</v>
      </c>
      <c r="L183">
        <f>COUNTIF(C179:D208,B183)</f>
        <v>1</v>
      </c>
      <c r="M183">
        <f>SUM(L203)</f>
        <v>2</v>
      </c>
      <c r="N183">
        <f t="shared" ref="N183:AA183" si="148">SUM(M203)</f>
        <v>4</v>
      </c>
      <c r="O183">
        <f t="shared" si="148"/>
        <v>9</v>
      </c>
      <c r="P183">
        <f t="shared" si="148"/>
        <v>21</v>
      </c>
      <c r="Q183">
        <f t="shared" si="148"/>
        <v>52</v>
      </c>
      <c r="R183">
        <f t="shared" si="148"/>
        <v>131</v>
      </c>
      <c r="S183">
        <f t="shared" si="148"/>
        <v>335</v>
      </c>
      <c r="T183">
        <f t="shared" si="148"/>
        <v>885</v>
      </c>
      <c r="U183">
        <f t="shared" si="148"/>
        <v>2281</v>
      </c>
      <c r="V183">
        <f t="shared" si="148"/>
        <v>6194</v>
      </c>
      <c r="W183">
        <f t="shared" si="148"/>
        <v>15975</v>
      </c>
      <c r="X183">
        <f t="shared" si="148"/>
        <v>44028</v>
      </c>
      <c r="Y183">
        <f t="shared" si="148"/>
        <v>113458</v>
      </c>
      <c r="Z183">
        <f t="shared" si="148"/>
        <v>314999</v>
      </c>
      <c r="AA183">
        <f t="shared" si="148"/>
        <v>811165</v>
      </c>
    </row>
    <row r="184" spans="1:27" x14ac:dyDescent="0.25">
      <c r="B184">
        <v>5</v>
      </c>
      <c r="C184">
        <v>5</v>
      </c>
      <c r="D184">
        <v>26</v>
      </c>
      <c r="E184">
        <v>25</v>
      </c>
      <c r="F184" t="s">
        <v>39</v>
      </c>
      <c r="G184" t="s">
        <v>23</v>
      </c>
      <c r="H184">
        <v>1</v>
      </c>
      <c r="I184">
        <v>8</v>
      </c>
      <c r="J184">
        <v>26</v>
      </c>
      <c r="K184" t="s">
        <v>345</v>
      </c>
      <c r="L184">
        <f>COUNTIF(C179:D208,B184)</f>
        <v>1</v>
      </c>
      <c r="M184">
        <f>SUM(L205)</f>
        <v>3</v>
      </c>
      <c r="N184">
        <f t="shared" ref="N184:AA184" si="149">SUM(M205)</f>
        <v>5</v>
      </c>
      <c r="O184">
        <f t="shared" si="149"/>
        <v>14</v>
      </c>
      <c r="P184">
        <f t="shared" si="149"/>
        <v>29</v>
      </c>
      <c r="Q184">
        <f t="shared" si="149"/>
        <v>76</v>
      </c>
      <c r="R184">
        <f t="shared" si="149"/>
        <v>180</v>
      </c>
      <c r="S184">
        <f t="shared" si="149"/>
        <v>455</v>
      </c>
      <c r="T184">
        <f t="shared" si="149"/>
        <v>1168</v>
      </c>
      <c r="U184">
        <f t="shared" si="149"/>
        <v>2895</v>
      </c>
      <c r="V184">
        <f t="shared" si="149"/>
        <v>7796</v>
      </c>
      <c r="W184">
        <f t="shared" si="149"/>
        <v>19136</v>
      </c>
      <c r="X184">
        <f t="shared" si="149"/>
        <v>53001</v>
      </c>
      <c r="Y184">
        <f t="shared" si="149"/>
        <v>129590</v>
      </c>
      <c r="Z184">
        <f t="shared" si="149"/>
        <v>364773</v>
      </c>
      <c r="AA184">
        <f t="shared" si="149"/>
        <v>891388</v>
      </c>
    </row>
    <row r="185" spans="1:27" x14ac:dyDescent="0.25">
      <c r="B185">
        <v>6</v>
      </c>
      <c r="C185">
        <v>6</v>
      </c>
      <c r="D185">
        <v>7</v>
      </c>
      <c r="E185">
        <v>1</v>
      </c>
      <c r="F185" t="s">
        <v>16</v>
      </c>
      <c r="G185" t="s">
        <v>12</v>
      </c>
      <c r="H185">
        <v>1</v>
      </c>
      <c r="I185">
        <v>6</v>
      </c>
      <c r="J185" t="s">
        <v>346</v>
      </c>
      <c r="K185" t="s">
        <v>347</v>
      </c>
      <c r="L185">
        <f>COUNTIF(C179:D208,B185)</f>
        <v>4</v>
      </c>
      <c r="M185">
        <f>SUM(L186,L189,L190,L196)</f>
        <v>10</v>
      </c>
      <c r="N185">
        <f t="shared" ref="N185:AA185" si="150">SUM(M186,M189,M190,M196)</f>
        <v>30</v>
      </c>
      <c r="O185">
        <f t="shared" si="150"/>
        <v>76</v>
      </c>
      <c r="P185">
        <f t="shared" si="150"/>
        <v>221</v>
      </c>
      <c r="Q185">
        <f t="shared" si="150"/>
        <v>558</v>
      </c>
      <c r="R185">
        <f t="shared" si="150"/>
        <v>1607</v>
      </c>
      <c r="S185">
        <f t="shared" si="150"/>
        <v>4056</v>
      </c>
      <c r="T185">
        <f t="shared" si="150"/>
        <v>11610</v>
      </c>
      <c r="U185">
        <f t="shared" si="150"/>
        <v>29341</v>
      </c>
      <c r="V185">
        <f t="shared" si="150"/>
        <v>83573</v>
      </c>
      <c r="W185">
        <f t="shared" si="150"/>
        <v>211608</v>
      </c>
      <c r="X185">
        <f t="shared" si="150"/>
        <v>600193</v>
      </c>
      <c r="Y185">
        <f t="shared" si="150"/>
        <v>1522815</v>
      </c>
      <c r="Z185">
        <f t="shared" si="150"/>
        <v>4303407</v>
      </c>
      <c r="AA185">
        <f t="shared" si="150"/>
        <v>10940922</v>
      </c>
    </row>
    <row r="186" spans="1:27" x14ac:dyDescent="0.25">
      <c r="B186">
        <v>7</v>
      </c>
      <c r="C186">
        <v>6</v>
      </c>
      <c r="D186">
        <v>10</v>
      </c>
      <c r="E186">
        <v>5</v>
      </c>
      <c r="F186" t="s">
        <v>16</v>
      </c>
      <c r="G186" t="s">
        <v>12</v>
      </c>
      <c r="H186">
        <v>1</v>
      </c>
      <c r="I186">
        <v>6</v>
      </c>
      <c r="J186" t="s">
        <v>348</v>
      </c>
      <c r="K186" t="s">
        <v>349</v>
      </c>
      <c r="L186">
        <f>COUNTIF(C179:D208,B186)</f>
        <v>3</v>
      </c>
      <c r="M186">
        <f>SUM(L185,L187,L191)</f>
        <v>9</v>
      </c>
      <c r="N186">
        <f t="shared" ref="N186:AA186" si="151">SUM(M185,M187,M191)</f>
        <v>23</v>
      </c>
      <c r="O186">
        <f t="shared" si="151"/>
        <v>69</v>
      </c>
      <c r="P186">
        <f t="shared" si="151"/>
        <v>173</v>
      </c>
      <c r="Q186">
        <f t="shared" si="151"/>
        <v>510</v>
      </c>
      <c r="R186">
        <f t="shared" si="151"/>
        <v>1276</v>
      </c>
      <c r="S186">
        <f t="shared" si="151"/>
        <v>3708</v>
      </c>
      <c r="T186">
        <f t="shared" si="151"/>
        <v>9298</v>
      </c>
      <c r="U186">
        <f t="shared" si="151"/>
        <v>26735</v>
      </c>
      <c r="V186">
        <f t="shared" si="151"/>
        <v>67267</v>
      </c>
      <c r="W186">
        <f t="shared" si="151"/>
        <v>191917</v>
      </c>
      <c r="X186">
        <f t="shared" si="151"/>
        <v>484532</v>
      </c>
      <c r="Y186">
        <f t="shared" si="151"/>
        <v>1374348</v>
      </c>
      <c r="Z186">
        <f t="shared" si="151"/>
        <v>3480672</v>
      </c>
      <c r="AA186">
        <f t="shared" si="151"/>
        <v>9828045</v>
      </c>
    </row>
    <row r="187" spans="1:27" x14ac:dyDescent="0.25">
      <c r="B187">
        <v>8</v>
      </c>
      <c r="C187">
        <v>6</v>
      </c>
      <c r="D187">
        <v>11</v>
      </c>
      <c r="E187">
        <v>4</v>
      </c>
      <c r="F187" t="s">
        <v>16</v>
      </c>
      <c r="G187" t="s">
        <v>12</v>
      </c>
      <c r="H187">
        <v>1</v>
      </c>
      <c r="I187">
        <v>6</v>
      </c>
      <c r="J187" t="s">
        <v>350</v>
      </c>
      <c r="K187" t="s">
        <v>351</v>
      </c>
      <c r="L187">
        <f>COUNTIF(C179:D208,B187)</f>
        <v>3</v>
      </c>
      <c r="M187">
        <f>SUM(L186,L188,L195)</f>
        <v>8</v>
      </c>
      <c r="N187">
        <f t="shared" ref="N187:AA187" si="152">SUM(M186,M188,M195)</f>
        <v>24</v>
      </c>
      <c r="O187">
        <f t="shared" si="152"/>
        <v>59</v>
      </c>
      <c r="P187">
        <f t="shared" si="152"/>
        <v>178</v>
      </c>
      <c r="Q187">
        <f t="shared" si="152"/>
        <v>435</v>
      </c>
      <c r="R187">
        <f t="shared" si="152"/>
        <v>1292</v>
      </c>
      <c r="S187">
        <f t="shared" si="152"/>
        <v>3170</v>
      </c>
      <c r="T187">
        <f t="shared" si="152"/>
        <v>9280</v>
      </c>
      <c r="U187">
        <f t="shared" si="152"/>
        <v>22886</v>
      </c>
      <c r="V187">
        <f t="shared" si="152"/>
        <v>66297</v>
      </c>
      <c r="W187">
        <f t="shared" si="152"/>
        <v>164286</v>
      </c>
      <c r="X187">
        <f t="shared" si="152"/>
        <v>472377</v>
      </c>
      <c r="Y187">
        <f t="shared" si="152"/>
        <v>1175578</v>
      </c>
      <c r="Z187">
        <f t="shared" si="152"/>
        <v>3361746</v>
      </c>
      <c r="AA187">
        <f t="shared" si="152"/>
        <v>8398013</v>
      </c>
    </row>
    <row r="188" spans="1:27" x14ac:dyDescent="0.25">
      <c r="B188">
        <v>9</v>
      </c>
      <c r="C188">
        <v>6</v>
      </c>
      <c r="D188">
        <v>17</v>
      </c>
      <c r="E188">
        <v>6</v>
      </c>
      <c r="F188" t="s">
        <v>16</v>
      </c>
      <c r="G188" t="s">
        <v>12</v>
      </c>
      <c r="H188">
        <v>1</v>
      </c>
      <c r="I188">
        <v>6</v>
      </c>
      <c r="J188" t="s">
        <v>352</v>
      </c>
      <c r="K188" t="s">
        <v>353</v>
      </c>
      <c r="L188">
        <f>COUNTIF(C179:D208,B188)</f>
        <v>3</v>
      </c>
      <c r="M188">
        <f>SUM(L187,L192,L193)</f>
        <v>10</v>
      </c>
      <c r="N188">
        <f t="shared" ref="N188:AA188" si="153">SUM(M187,M192,M193)</f>
        <v>23</v>
      </c>
      <c r="O188">
        <f t="shared" si="153"/>
        <v>72</v>
      </c>
      <c r="P188">
        <f t="shared" si="153"/>
        <v>170</v>
      </c>
      <c r="Q188">
        <f t="shared" si="153"/>
        <v>513</v>
      </c>
      <c r="R188">
        <f t="shared" si="153"/>
        <v>1234</v>
      </c>
      <c r="S188">
        <f t="shared" si="153"/>
        <v>3644</v>
      </c>
      <c r="T188">
        <f t="shared" si="153"/>
        <v>8861</v>
      </c>
      <c r="U188">
        <f t="shared" si="153"/>
        <v>25837</v>
      </c>
      <c r="V188">
        <f t="shared" si="153"/>
        <v>63270</v>
      </c>
      <c r="W188">
        <f t="shared" si="153"/>
        <v>183038</v>
      </c>
      <c r="X188">
        <f t="shared" si="153"/>
        <v>450578</v>
      </c>
      <c r="Y188">
        <f t="shared" si="153"/>
        <v>1296558</v>
      </c>
      <c r="Z188">
        <f t="shared" si="153"/>
        <v>3205553</v>
      </c>
      <c r="AA188">
        <f t="shared" si="153"/>
        <v>9187180</v>
      </c>
    </row>
    <row r="189" spans="1:27" x14ac:dyDescent="0.25">
      <c r="B189">
        <v>10</v>
      </c>
      <c r="C189">
        <v>7</v>
      </c>
      <c r="D189">
        <v>8</v>
      </c>
      <c r="E189">
        <v>3</v>
      </c>
      <c r="F189" t="s">
        <v>16</v>
      </c>
      <c r="G189" t="s">
        <v>12</v>
      </c>
      <c r="H189">
        <v>1</v>
      </c>
      <c r="I189">
        <v>6</v>
      </c>
      <c r="J189" t="s">
        <v>354</v>
      </c>
      <c r="K189" t="s">
        <v>355</v>
      </c>
      <c r="L189">
        <f>COUNTIF(C179:D208,B189)</f>
        <v>4</v>
      </c>
      <c r="M189">
        <f>SUM(L180,L185,L194,L199)</f>
        <v>10</v>
      </c>
      <c r="N189">
        <f t="shared" ref="N189:AA189" si="154">SUM(M180,M185,M194,M199)</f>
        <v>27</v>
      </c>
      <c r="O189">
        <f t="shared" si="154"/>
        <v>72</v>
      </c>
      <c r="P189">
        <f t="shared" si="154"/>
        <v>188</v>
      </c>
      <c r="Q189">
        <f t="shared" si="154"/>
        <v>513</v>
      </c>
      <c r="R189">
        <f t="shared" si="154"/>
        <v>1328</v>
      </c>
      <c r="S189">
        <f t="shared" si="154"/>
        <v>3670</v>
      </c>
      <c r="T189">
        <f t="shared" si="154"/>
        <v>9467</v>
      </c>
      <c r="U189">
        <f t="shared" si="154"/>
        <v>26331</v>
      </c>
      <c r="V189">
        <f t="shared" si="154"/>
        <v>67814</v>
      </c>
      <c r="W189">
        <f t="shared" si="154"/>
        <v>189109</v>
      </c>
      <c r="X189">
        <f t="shared" si="154"/>
        <v>486766</v>
      </c>
      <c r="Y189">
        <f t="shared" si="154"/>
        <v>1358020</v>
      </c>
      <c r="Z189">
        <f t="shared" si="154"/>
        <v>3495832</v>
      </c>
      <c r="AA189">
        <f t="shared" si="154"/>
        <v>9745716</v>
      </c>
    </row>
    <row r="190" spans="1:27" x14ac:dyDescent="0.25">
      <c r="B190">
        <v>11</v>
      </c>
      <c r="C190">
        <v>7</v>
      </c>
      <c r="D190">
        <v>12</v>
      </c>
      <c r="E190">
        <v>9</v>
      </c>
      <c r="F190" t="s">
        <v>16</v>
      </c>
      <c r="G190" t="s">
        <v>12</v>
      </c>
      <c r="H190">
        <v>1</v>
      </c>
      <c r="I190">
        <v>6</v>
      </c>
      <c r="J190" t="s">
        <v>306</v>
      </c>
      <c r="K190" t="s">
        <v>307</v>
      </c>
      <c r="L190">
        <f>COUNTIF(C179:D208,B190)</f>
        <v>2</v>
      </c>
      <c r="M190">
        <f>SUM(L185,L192)</f>
        <v>7</v>
      </c>
      <c r="N190">
        <f t="shared" ref="N190:AA190" si="155">SUM(M185,M192)</f>
        <v>16</v>
      </c>
      <c r="O190">
        <f t="shared" si="155"/>
        <v>50</v>
      </c>
      <c r="P190">
        <f t="shared" si="155"/>
        <v>121</v>
      </c>
      <c r="Q190">
        <f t="shared" si="155"/>
        <v>363</v>
      </c>
      <c r="R190">
        <f t="shared" si="155"/>
        <v>894</v>
      </c>
      <c r="S190">
        <f t="shared" si="155"/>
        <v>2625</v>
      </c>
      <c r="T190">
        <f t="shared" si="155"/>
        <v>6520</v>
      </c>
      <c r="U190">
        <f t="shared" si="155"/>
        <v>18897</v>
      </c>
      <c r="V190">
        <f t="shared" si="155"/>
        <v>47186</v>
      </c>
      <c r="W190">
        <f t="shared" si="155"/>
        <v>135594</v>
      </c>
      <c r="X190">
        <f t="shared" si="155"/>
        <v>339909</v>
      </c>
      <c r="Y190">
        <f t="shared" si="155"/>
        <v>970846</v>
      </c>
      <c r="Z190">
        <f t="shared" si="155"/>
        <v>2441603</v>
      </c>
      <c r="AA190">
        <f t="shared" si="155"/>
        <v>6941464</v>
      </c>
    </row>
    <row r="191" spans="1:27" x14ac:dyDescent="0.25">
      <c r="B191">
        <v>12</v>
      </c>
      <c r="C191">
        <v>8</v>
      </c>
      <c r="D191">
        <v>9</v>
      </c>
      <c r="E191">
        <v>10</v>
      </c>
      <c r="F191" t="s">
        <v>16</v>
      </c>
      <c r="G191" t="s">
        <v>12</v>
      </c>
      <c r="H191">
        <v>1</v>
      </c>
      <c r="I191">
        <v>6</v>
      </c>
      <c r="J191" t="s">
        <v>356</v>
      </c>
      <c r="K191" t="s">
        <v>357</v>
      </c>
      <c r="L191">
        <f>COUNTIF(C179:D208,B191)</f>
        <v>2</v>
      </c>
      <c r="M191">
        <f>SUM(L186,L194)</f>
        <v>5</v>
      </c>
      <c r="N191">
        <f t="shared" ref="N191:AA191" si="156">SUM(M186,M194)</f>
        <v>15</v>
      </c>
      <c r="O191">
        <f t="shared" si="156"/>
        <v>38</v>
      </c>
      <c r="P191">
        <f t="shared" si="156"/>
        <v>111</v>
      </c>
      <c r="Q191">
        <f t="shared" si="156"/>
        <v>283</v>
      </c>
      <c r="R191">
        <f t="shared" si="156"/>
        <v>809</v>
      </c>
      <c r="S191">
        <f t="shared" si="156"/>
        <v>2072</v>
      </c>
      <c r="T191">
        <f t="shared" si="156"/>
        <v>5845</v>
      </c>
      <c r="U191">
        <f t="shared" si="156"/>
        <v>15040</v>
      </c>
      <c r="V191">
        <f t="shared" si="156"/>
        <v>42047</v>
      </c>
      <c r="W191">
        <f t="shared" si="156"/>
        <v>108638</v>
      </c>
      <c r="X191">
        <f t="shared" si="156"/>
        <v>301778</v>
      </c>
      <c r="Y191">
        <f t="shared" si="156"/>
        <v>782279</v>
      </c>
      <c r="Z191">
        <f t="shared" si="156"/>
        <v>2162892</v>
      </c>
      <c r="AA191">
        <f t="shared" si="156"/>
        <v>5620971</v>
      </c>
    </row>
    <row r="192" spans="1:27" x14ac:dyDescent="0.25">
      <c r="B192">
        <v>13</v>
      </c>
      <c r="C192">
        <v>8</v>
      </c>
      <c r="D192">
        <v>16</v>
      </c>
      <c r="E192">
        <v>7</v>
      </c>
      <c r="F192" t="s">
        <v>16</v>
      </c>
      <c r="G192" t="s">
        <v>12</v>
      </c>
      <c r="H192">
        <v>1</v>
      </c>
      <c r="I192">
        <v>6</v>
      </c>
      <c r="J192" t="s">
        <v>358</v>
      </c>
      <c r="K192" t="s">
        <v>359</v>
      </c>
      <c r="L192">
        <f>COUNTIF(C179:D208,B192)</f>
        <v>3</v>
      </c>
      <c r="M192">
        <f>SUM(L181,L188,L190)</f>
        <v>6</v>
      </c>
      <c r="N192">
        <f t="shared" ref="N192:AA192" si="157">SUM(M181,M188,M190)</f>
        <v>20</v>
      </c>
      <c r="O192">
        <f t="shared" si="157"/>
        <v>45</v>
      </c>
      <c r="P192">
        <f t="shared" si="157"/>
        <v>142</v>
      </c>
      <c r="Q192">
        <f t="shared" si="157"/>
        <v>336</v>
      </c>
      <c r="R192">
        <f t="shared" si="157"/>
        <v>1018</v>
      </c>
      <c r="S192">
        <f t="shared" si="157"/>
        <v>2464</v>
      </c>
      <c r="T192">
        <f t="shared" si="157"/>
        <v>7287</v>
      </c>
      <c r="U192">
        <f t="shared" si="157"/>
        <v>17845</v>
      </c>
      <c r="V192">
        <f t="shared" si="157"/>
        <v>52021</v>
      </c>
      <c r="W192">
        <f t="shared" si="157"/>
        <v>128301</v>
      </c>
      <c r="X192">
        <f t="shared" si="157"/>
        <v>370653</v>
      </c>
      <c r="Y192">
        <f t="shared" si="157"/>
        <v>918788</v>
      </c>
      <c r="Z192">
        <f t="shared" si="157"/>
        <v>2638057</v>
      </c>
      <c r="AA192">
        <f t="shared" si="157"/>
        <v>6565944</v>
      </c>
    </row>
    <row r="193" spans="2:27" x14ac:dyDescent="0.25">
      <c r="B193">
        <v>14</v>
      </c>
      <c r="C193">
        <v>9</v>
      </c>
      <c r="D193">
        <v>13</v>
      </c>
      <c r="E193">
        <v>2</v>
      </c>
      <c r="F193" t="s">
        <v>16</v>
      </c>
      <c r="G193" t="s">
        <v>12</v>
      </c>
      <c r="H193">
        <v>1</v>
      </c>
      <c r="I193">
        <v>6</v>
      </c>
      <c r="J193" t="s">
        <v>360</v>
      </c>
      <c r="K193" t="s">
        <v>361</v>
      </c>
      <c r="L193">
        <f>COUNTIF(C179:D208,B193)</f>
        <v>4</v>
      </c>
      <c r="M193">
        <f>SUM(L188,L198,L200,L201)</f>
        <v>9</v>
      </c>
      <c r="N193">
        <f t="shared" ref="N193:AA193" si="158">SUM(M188,M198,M200,M201)</f>
        <v>28</v>
      </c>
      <c r="O193">
        <f t="shared" si="158"/>
        <v>66</v>
      </c>
      <c r="P193">
        <f t="shared" si="158"/>
        <v>193</v>
      </c>
      <c r="Q193">
        <f t="shared" si="158"/>
        <v>463</v>
      </c>
      <c r="R193">
        <f t="shared" si="158"/>
        <v>1334</v>
      </c>
      <c r="S193">
        <f t="shared" si="158"/>
        <v>3227</v>
      </c>
      <c r="T193">
        <f t="shared" si="158"/>
        <v>9270</v>
      </c>
      <c r="U193">
        <f t="shared" si="158"/>
        <v>22539</v>
      </c>
      <c r="V193">
        <f t="shared" si="158"/>
        <v>64720</v>
      </c>
      <c r="W193">
        <f t="shared" si="158"/>
        <v>157991</v>
      </c>
      <c r="X193">
        <f t="shared" si="158"/>
        <v>453528</v>
      </c>
      <c r="Y193">
        <f t="shared" si="158"/>
        <v>1111187</v>
      </c>
      <c r="Z193">
        <f t="shared" si="158"/>
        <v>3187377</v>
      </c>
      <c r="AA193">
        <f t="shared" si="158"/>
        <v>7837122</v>
      </c>
    </row>
    <row r="194" spans="2:27" x14ac:dyDescent="0.25">
      <c r="B194">
        <v>15</v>
      </c>
      <c r="C194">
        <v>9</v>
      </c>
      <c r="D194">
        <v>14</v>
      </c>
      <c r="E194">
        <v>11</v>
      </c>
      <c r="F194" t="s">
        <v>16</v>
      </c>
      <c r="G194" t="s">
        <v>12</v>
      </c>
      <c r="H194">
        <v>1</v>
      </c>
      <c r="I194">
        <v>6</v>
      </c>
      <c r="J194" t="s">
        <v>362</v>
      </c>
      <c r="K194" t="s">
        <v>363</v>
      </c>
      <c r="L194">
        <f>COUNTIF(C179:D208,B194)</f>
        <v>2</v>
      </c>
      <c r="M194">
        <f>SUM(L189,L191)</f>
        <v>6</v>
      </c>
      <c r="N194">
        <f t="shared" ref="N194:AA194" si="159">SUM(M189,M191)</f>
        <v>15</v>
      </c>
      <c r="O194">
        <f t="shared" si="159"/>
        <v>42</v>
      </c>
      <c r="P194">
        <f t="shared" si="159"/>
        <v>110</v>
      </c>
      <c r="Q194">
        <f t="shared" si="159"/>
        <v>299</v>
      </c>
      <c r="R194">
        <f t="shared" si="159"/>
        <v>796</v>
      </c>
      <c r="S194">
        <f t="shared" si="159"/>
        <v>2137</v>
      </c>
      <c r="T194">
        <f t="shared" si="159"/>
        <v>5742</v>
      </c>
      <c r="U194">
        <f t="shared" si="159"/>
        <v>15312</v>
      </c>
      <c r="V194">
        <f t="shared" si="159"/>
        <v>41371</v>
      </c>
      <c r="W194">
        <f t="shared" si="159"/>
        <v>109861</v>
      </c>
      <c r="X194">
        <f t="shared" si="159"/>
        <v>297747</v>
      </c>
      <c r="Y194">
        <f t="shared" si="159"/>
        <v>788544</v>
      </c>
      <c r="Z194">
        <f t="shared" si="159"/>
        <v>2140299</v>
      </c>
      <c r="AA194">
        <f t="shared" si="159"/>
        <v>5658724</v>
      </c>
    </row>
    <row r="195" spans="2:27" x14ac:dyDescent="0.25">
      <c r="B195">
        <v>16</v>
      </c>
      <c r="C195">
        <v>10</v>
      </c>
      <c r="D195">
        <v>15</v>
      </c>
      <c r="E195">
        <v>13</v>
      </c>
      <c r="F195" t="s">
        <v>16</v>
      </c>
      <c r="G195" t="s">
        <v>12</v>
      </c>
      <c r="H195">
        <v>1</v>
      </c>
      <c r="I195">
        <v>6</v>
      </c>
      <c r="J195" t="s">
        <v>364</v>
      </c>
      <c r="K195" t="s">
        <v>365</v>
      </c>
      <c r="L195">
        <f>COUNTIF(C179:D208,B195)</f>
        <v>2</v>
      </c>
      <c r="M195">
        <f>SUM(L187,L197)</f>
        <v>5</v>
      </c>
      <c r="N195">
        <f t="shared" ref="N195:AA195" si="160">SUM(M187,M197)</f>
        <v>13</v>
      </c>
      <c r="O195">
        <f t="shared" si="160"/>
        <v>37</v>
      </c>
      <c r="P195">
        <f t="shared" si="160"/>
        <v>92</v>
      </c>
      <c r="Q195">
        <f t="shared" si="160"/>
        <v>269</v>
      </c>
      <c r="R195">
        <f t="shared" si="160"/>
        <v>660</v>
      </c>
      <c r="S195">
        <f t="shared" si="160"/>
        <v>1928</v>
      </c>
      <c r="T195">
        <f t="shared" si="160"/>
        <v>4727</v>
      </c>
      <c r="U195">
        <f t="shared" si="160"/>
        <v>13725</v>
      </c>
      <c r="V195">
        <f t="shared" si="160"/>
        <v>33749</v>
      </c>
      <c r="W195">
        <f t="shared" si="160"/>
        <v>97422</v>
      </c>
      <c r="X195">
        <f t="shared" si="160"/>
        <v>240468</v>
      </c>
      <c r="Y195">
        <f t="shared" si="160"/>
        <v>690840</v>
      </c>
      <c r="Z195">
        <f t="shared" si="160"/>
        <v>1711788</v>
      </c>
      <c r="AA195">
        <f t="shared" si="160"/>
        <v>4898619</v>
      </c>
    </row>
    <row r="196" spans="2:27" x14ac:dyDescent="0.25">
      <c r="B196">
        <v>17</v>
      </c>
      <c r="C196">
        <v>10</v>
      </c>
      <c r="D196">
        <v>20</v>
      </c>
      <c r="E196">
        <v>16</v>
      </c>
      <c r="F196" t="s">
        <v>16</v>
      </c>
      <c r="G196" t="s">
        <v>12</v>
      </c>
      <c r="H196">
        <v>1</v>
      </c>
      <c r="I196">
        <v>6</v>
      </c>
      <c r="J196">
        <v>6</v>
      </c>
      <c r="K196" t="s">
        <v>337</v>
      </c>
      <c r="L196">
        <f>COUNTIF(C179:D208,B196)</f>
        <v>1</v>
      </c>
      <c r="M196">
        <f>SUM(L185)</f>
        <v>4</v>
      </c>
      <c r="N196">
        <f t="shared" ref="N196:AA196" si="161">SUM(M185)</f>
        <v>10</v>
      </c>
      <c r="O196">
        <f t="shared" si="161"/>
        <v>30</v>
      </c>
      <c r="P196">
        <f t="shared" si="161"/>
        <v>76</v>
      </c>
      <c r="Q196">
        <f t="shared" si="161"/>
        <v>221</v>
      </c>
      <c r="R196">
        <f t="shared" si="161"/>
        <v>558</v>
      </c>
      <c r="S196">
        <f t="shared" si="161"/>
        <v>1607</v>
      </c>
      <c r="T196">
        <f t="shared" si="161"/>
        <v>4056</v>
      </c>
      <c r="U196">
        <f t="shared" si="161"/>
        <v>11610</v>
      </c>
      <c r="V196">
        <f t="shared" si="161"/>
        <v>29341</v>
      </c>
      <c r="W196">
        <f t="shared" si="161"/>
        <v>83573</v>
      </c>
      <c r="X196">
        <f t="shared" si="161"/>
        <v>211608</v>
      </c>
      <c r="Y196">
        <f t="shared" si="161"/>
        <v>600193</v>
      </c>
      <c r="Z196">
        <f t="shared" si="161"/>
        <v>1522815</v>
      </c>
      <c r="AA196">
        <f t="shared" si="161"/>
        <v>4303407</v>
      </c>
    </row>
    <row r="197" spans="2:27" x14ac:dyDescent="0.25">
      <c r="B197">
        <v>18</v>
      </c>
      <c r="C197">
        <v>11</v>
      </c>
      <c r="D197">
        <v>13</v>
      </c>
      <c r="E197">
        <v>14</v>
      </c>
      <c r="F197" t="s">
        <v>16</v>
      </c>
      <c r="G197" t="s">
        <v>12</v>
      </c>
      <c r="H197">
        <v>1</v>
      </c>
      <c r="I197">
        <v>6</v>
      </c>
      <c r="J197" t="s">
        <v>366</v>
      </c>
      <c r="K197" t="s">
        <v>367</v>
      </c>
      <c r="L197">
        <f>COUNTIF(C179:D208,B197)</f>
        <v>2</v>
      </c>
      <c r="M197">
        <f>SUM(L195,L198)</f>
        <v>5</v>
      </c>
      <c r="N197">
        <f t="shared" ref="N197:AA197" si="162">SUM(M195,M198)</f>
        <v>13</v>
      </c>
      <c r="O197">
        <f t="shared" si="162"/>
        <v>33</v>
      </c>
      <c r="P197">
        <f t="shared" si="162"/>
        <v>91</v>
      </c>
      <c r="Q197">
        <f t="shared" si="162"/>
        <v>225</v>
      </c>
      <c r="R197">
        <f t="shared" si="162"/>
        <v>636</v>
      </c>
      <c r="S197">
        <f t="shared" si="162"/>
        <v>1557</v>
      </c>
      <c r="T197">
        <f t="shared" si="162"/>
        <v>4445</v>
      </c>
      <c r="U197">
        <f t="shared" si="162"/>
        <v>10863</v>
      </c>
      <c r="V197">
        <f t="shared" si="162"/>
        <v>31125</v>
      </c>
      <c r="W197">
        <f t="shared" si="162"/>
        <v>76182</v>
      </c>
      <c r="X197">
        <f t="shared" si="162"/>
        <v>218463</v>
      </c>
      <c r="Y197">
        <f t="shared" si="162"/>
        <v>536210</v>
      </c>
      <c r="Z197">
        <f t="shared" si="162"/>
        <v>1536873</v>
      </c>
      <c r="AA197">
        <f t="shared" si="162"/>
        <v>3784517</v>
      </c>
    </row>
    <row r="198" spans="2:27" x14ac:dyDescent="0.25">
      <c r="B198">
        <v>19</v>
      </c>
      <c r="C198">
        <v>12</v>
      </c>
      <c r="D198">
        <v>15</v>
      </c>
      <c r="E198">
        <v>8</v>
      </c>
      <c r="F198" t="s">
        <v>16</v>
      </c>
      <c r="G198" t="s">
        <v>12</v>
      </c>
      <c r="H198">
        <v>1</v>
      </c>
      <c r="I198">
        <v>6</v>
      </c>
      <c r="J198" t="s">
        <v>368</v>
      </c>
      <c r="K198" t="s">
        <v>369</v>
      </c>
      <c r="L198">
        <f>COUNTIF(C179:D208,B198)</f>
        <v>3</v>
      </c>
      <c r="M198">
        <f>SUM(L193,L197,L202)</f>
        <v>8</v>
      </c>
      <c r="N198">
        <f t="shared" ref="N198:AA198" si="163">SUM(M193,M197,M202)</f>
        <v>20</v>
      </c>
      <c r="O198">
        <f t="shared" si="163"/>
        <v>54</v>
      </c>
      <c r="P198">
        <f t="shared" si="163"/>
        <v>133</v>
      </c>
      <c r="Q198">
        <f t="shared" si="163"/>
        <v>367</v>
      </c>
      <c r="R198">
        <f t="shared" si="163"/>
        <v>897</v>
      </c>
      <c r="S198">
        <f t="shared" si="163"/>
        <v>2517</v>
      </c>
      <c r="T198">
        <f t="shared" si="163"/>
        <v>6136</v>
      </c>
      <c r="U198">
        <f t="shared" si="163"/>
        <v>17400</v>
      </c>
      <c r="V198">
        <f t="shared" si="163"/>
        <v>42433</v>
      </c>
      <c r="W198">
        <f t="shared" si="163"/>
        <v>121041</v>
      </c>
      <c r="X198">
        <f t="shared" si="163"/>
        <v>295742</v>
      </c>
      <c r="Y198">
        <f t="shared" si="163"/>
        <v>846033</v>
      </c>
      <c r="Z198">
        <f t="shared" si="163"/>
        <v>2072729</v>
      </c>
      <c r="AA198">
        <f t="shared" si="163"/>
        <v>5935056</v>
      </c>
    </row>
    <row r="199" spans="2:27" x14ac:dyDescent="0.25">
      <c r="B199">
        <v>20</v>
      </c>
      <c r="C199">
        <v>14</v>
      </c>
      <c r="D199">
        <v>19</v>
      </c>
      <c r="E199">
        <v>12</v>
      </c>
      <c r="F199" t="s">
        <v>16</v>
      </c>
      <c r="G199" t="s">
        <v>12</v>
      </c>
      <c r="H199">
        <v>1</v>
      </c>
      <c r="I199">
        <v>6</v>
      </c>
      <c r="J199" t="s">
        <v>370</v>
      </c>
      <c r="K199" t="s">
        <v>371</v>
      </c>
      <c r="L199">
        <f>COUNTIF(C179:D208,B199)</f>
        <v>3</v>
      </c>
      <c r="M199">
        <f>SUM(L182,L189,L203)</f>
        <v>7</v>
      </c>
      <c r="N199">
        <f t="shared" ref="N199:AA199" si="164">SUM(M182,M189,M203)</f>
        <v>17</v>
      </c>
      <c r="O199">
        <f t="shared" si="164"/>
        <v>43</v>
      </c>
      <c r="P199">
        <f t="shared" si="164"/>
        <v>110</v>
      </c>
      <c r="Q199">
        <f t="shared" si="164"/>
        <v>283</v>
      </c>
      <c r="R199">
        <f t="shared" si="164"/>
        <v>754</v>
      </c>
      <c r="S199">
        <f t="shared" si="164"/>
        <v>1946</v>
      </c>
      <c r="T199">
        <f t="shared" si="164"/>
        <v>5309</v>
      </c>
      <c r="U199">
        <f t="shared" si="164"/>
        <v>13694</v>
      </c>
      <c r="V199">
        <f t="shared" si="164"/>
        <v>37834</v>
      </c>
      <c r="W199">
        <f t="shared" si="164"/>
        <v>97483</v>
      </c>
      <c r="X199">
        <f t="shared" si="164"/>
        <v>270971</v>
      </c>
      <c r="Y199">
        <f t="shared" si="164"/>
        <v>697707</v>
      </c>
      <c r="Z199">
        <f t="shared" si="164"/>
        <v>1943990</v>
      </c>
      <c r="AA199">
        <f t="shared" si="164"/>
        <v>5004704</v>
      </c>
    </row>
    <row r="200" spans="2:27" x14ac:dyDescent="0.25">
      <c r="B200">
        <v>21</v>
      </c>
      <c r="C200">
        <v>14</v>
      </c>
      <c r="D200">
        <v>21</v>
      </c>
      <c r="E200">
        <v>19</v>
      </c>
      <c r="F200" t="s">
        <v>16</v>
      </c>
      <c r="G200" t="s">
        <v>12</v>
      </c>
      <c r="H200">
        <v>1</v>
      </c>
      <c r="I200">
        <v>6</v>
      </c>
      <c r="J200">
        <v>14</v>
      </c>
      <c r="K200" t="s">
        <v>336</v>
      </c>
      <c r="L200">
        <f>COUNTIF(C179:D208,B200)</f>
        <v>1</v>
      </c>
      <c r="M200">
        <f>SUM(L193)</f>
        <v>4</v>
      </c>
      <c r="N200">
        <f t="shared" ref="N200:AA200" si="165">SUM(M193)</f>
        <v>9</v>
      </c>
      <c r="O200">
        <f t="shared" si="165"/>
        <v>28</v>
      </c>
      <c r="P200">
        <f t="shared" si="165"/>
        <v>66</v>
      </c>
      <c r="Q200">
        <f t="shared" si="165"/>
        <v>193</v>
      </c>
      <c r="R200">
        <f t="shared" si="165"/>
        <v>463</v>
      </c>
      <c r="S200">
        <f t="shared" si="165"/>
        <v>1334</v>
      </c>
      <c r="T200">
        <f t="shared" si="165"/>
        <v>3227</v>
      </c>
      <c r="U200">
        <f t="shared" si="165"/>
        <v>9270</v>
      </c>
      <c r="V200">
        <f t="shared" si="165"/>
        <v>22539</v>
      </c>
      <c r="W200">
        <f t="shared" si="165"/>
        <v>64720</v>
      </c>
      <c r="X200">
        <f t="shared" si="165"/>
        <v>157991</v>
      </c>
      <c r="Y200">
        <f t="shared" si="165"/>
        <v>453528</v>
      </c>
      <c r="Z200">
        <f t="shared" si="165"/>
        <v>1111187</v>
      </c>
      <c r="AA200">
        <f t="shared" si="165"/>
        <v>3187377</v>
      </c>
    </row>
    <row r="201" spans="2:27" x14ac:dyDescent="0.25">
      <c r="B201">
        <v>22</v>
      </c>
      <c r="C201">
        <v>14</v>
      </c>
      <c r="D201">
        <v>22</v>
      </c>
      <c r="E201">
        <v>15</v>
      </c>
      <c r="F201" t="s">
        <v>16</v>
      </c>
      <c r="G201" t="s">
        <v>12</v>
      </c>
      <c r="H201">
        <v>1</v>
      </c>
      <c r="I201">
        <v>6</v>
      </c>
      <c r="J201" t="s">
        <v>372</v>
      </c>
      <c r="K201" t="s">
        <v>373</v>
      </c>
      <c r="L201">
        <f>COUNTIF(C179:D208,B201)</f>
        <v>2</v>
      </c>
      <c r="M201">
        <f>SUM(L193,L204)</f>
        <v>6</v>
      </c>
      <c r="N201">
        <f t="shared" ref="N201:AA201" si="166">SUM(M193,M204)</f>
        <v>14</v>
      </c>
      <c r="O201">
        <f t="shared" si="166"/>
        <v>39</v>
      </c>
      <c r="P201">
        <f t="shared" si="166"/>
        <v>94</v>
      </c>
      <c r="Q201">
        <f t="shared" si="166"/>
        <v>261</v>
      </c>
      <c r="R201">
        <f t="shared" si="166"/>
        <v>633</v>
      </c>
      <c r="S201">
        <f t="shared" si="166"/>
        <v>1775</v>
      </c>
      <c r="T201">
        <f t="shared" si="166"/>
        <v>4315</v>
      </c>
      <c r="U201">
        <f t="shared" si="166"/>
        <v>12213</v>
      </c>
      <c r="V201">
        <f t="shared" si="166"/>
        <v>29749</v>
      </c>
      <c r="W201">
        <f t="shared" si="166"/>
        <v>84729</v>
      </c>
      <c r="X201">
        <f t="shared" si="166"/>
        <v>206876</v>
      </c>
      <c r="Y201">
        <f t="shared" si="166"/>
        <v>591258</v>
      </c>
      <c r="Z201">
        <f t="shared" si="166"/>
        <v>1447653</v>
      </c>
      <c r="AA201">
        <f t="shared" si="166"/>
        <v>4143408</v>
      </c>
    </row>
    <row r="202" spans="2:27" x14ac:dyDescent="0.25">
      <c r="B202">
        <v>23</v>
      </c>
      <c r="C202">
        <v>16</v>
      </c>
      <c r="D202">
        <v>18</v>
      </c>
      <c r="E202">
        <v>17</v>
      </c>
      <c r="F202" t="s">
        <v>16</v>
      </c>
      <c r="G202" t="s">
        <v>12</v>
      </c>
      <c r="H202">
        <v>1</v>
      </c>
      <c r="I202">
        <v>6</v>
      </c>
      <c r="J202" t="s">
        <v>374</v>
      </c>
      <c r="K202" t="s">
        <v>375</v>
      </c>
      <c r="L202">
        <f>COUNTIF(C179:D208,B202)</f>
        <v>2</v>
      </c>
      <c r="M202">
        <f>SUM(L198,L205)</f>
        <v>6</v>
      </c>
      <c r="N202">
        <f t="shared" ref="N202:AA202" si="167">SUM(M198,M205)</f>
        <v>13</v>
      </c>
      <c r="O202">
        <f t="shared" si="167"/>
        <v>34</v>
      </c>
      <c r="P202">
        <f t="shared" si="167"/>
        <v>83</v>
      </c>
      <c r="Q202">
        <f t="shared" si="167"/>
        <v>209</v>
      </c>
      <c r="R202">
        <f t="shared" si="167"/>
        <v>547</v>
      </c>
      <c r="S202">
        <f t="shared" si="167"/>
        <v>1352</v>
      </c>
      <c r="T202">
        <f t="shared" si="167"/>
        <v>3685</v>
      </c>
      <c r="U202">
        <f t="shared" si="167"/>
        <v>9031</v>
      </c>
      <c r="V202">
        <f t="shared" si="167"/>
        <v>25196</v>
      </c>
      <c r="W202">
        <f t="shared" si="167"/>
        <v>61569</v>
      </c>
      <c r="X202">
        <f t="shared" si="167"/>
        <v>174042</v>
      </c>
      <c r="Y202">
        <f t="shared" si="167"/>
        <v>425332</v>
      </c>
      <c r="Z202">
        <f t="shared" si="167"/>
        <v>1210806</v>
      </c>
      <c r="AA202">
        <f t="shared" si="167"/>
        <v>2964117</v>
      </c>
    </row>
    <row r="203" spans="2:27" x14ac:dyDescent="0.25">
      <c r="B203">
        <v>24</v>
      </c>
      <c r="C203">
        <v>18</v>
      </c>
      <c r="D203">
        <v>19</v>
      </c>
      <c r="E203">
        <v>23</v>
      </c>
      <c r="F203" t="s">
        <v>16</v>
      </c>
      <c r="G203" t="s">
        <v>12</v>
      </c>
      <c r="H203">
        <v>1</v>
      </c>
      <c r="I203">
        <v>6</v>
      </c>
      <c r="J203" t="s">
        <v>376</v>
      </c>
      <c r="K203" t="s">
        <v>377</v>
      </c>
      <c r="L203">
        <f>COUNTIF(C179:D208,B203)</f>
        <v>2</v>
      </c>
      <c r="M203">
        <f>SUM(L183,L199)</f>
        <v>4</v>
      </c>
      <c r="N203">
        <f t="shared" ref="N203:AA203" si="168">SUM(M183,M199)</f>
        <v>9</v>
      </c>
      <c r="O203">
        <f t="shared" si="168"/>
        <v>21</v>
      </c>
      <c r="P203">
        <f t="shared" si="168"/>
        <v>52</v>
      </c>
      <c r="Q203">
        <f t="shared" si="168"/>
        <v>131</v>
      </c>
      <c r="R203">
        <f t="shared" si="168"/>
        <v>335</v>
      </c>
      <c r="S203">
        <f t="shared" si="168"/>
        <v>885</v>
      </c>
      <c r="T203">
        <f t="shared" si="168"/>
        <v>2281</v>
      </c>
      <c r="U203">
        <f t="shared" si="168"/>
        <v>6194</v>
      </c>
      <c r="V203">
        <f t="shared" si="168"/>
        <v>15975</v>
      </c>
      <c r="W203">
        <f t="shared" si="168"/>
        <v>44028</v>
      </c>
      <c r="X203">
        <f t="shared" si="168"/>
        <v>113458</v>
      </c>
      <c r="Y203">
        <f t="shared" si="168"/>
        <v>314999</v>
      </c>
      <c r="Z203">
        <f t="shared" si="168"/>
        <v>811165</v>
      </c>
      <c r="AA203">
        <f t="shared" si="168"/>
        <v>2258989</v>
      </c>
    </row>
    <row r="204" spans="2:27" x14ac:dyDescent="0.25">
      <c r="B204">
        <v>25</v>
      </c>
      <c r="C204">
        <v>19</v>
      </c>
      <c r="D204">
        <v>23</v>
      </c>
      <c r="E204">
        <v>21</v>
      </c>
      <c r="F204" t="s">
        <v>16</v>
      </c>
      <c r="G204" t="s">
        <v>12</v>
      </c>
      <c r="H204">
        <v>1</v>
      </c>
      <c r="I204">
        <v>6</v>
      </c>
      <c r="J204" t="s">
        <v>378</v>
      </c>
      <c r="K204" t="s">
        <v>379</v>
      </c>
      <c r="L204">
        <f>COUNTIF(C179:D208,B204)</f>
        <v>2</v>
      </c>
      <c r="M204">
        <f>SUM(L201,L205)</f>
        <v>5</v>
      </c>
      <c r="N204">
        <f t="shared" ref="N204:AA204" si="169">SUM(M201,M205)</f>
        <v>11</v>
      </c>
      <c r="O204">
        <f t="shared" si="169"/>
        <v>28</v>
      </c>
      <c r="P204">
        <f t="shared" si="169"/>
        <v>68</v>
      </c>
      <c r="Q204">
        <f t="shared" si="169"/>
        <v>170</v>
      </c>
      <c r="R204">
        <f t="shared" si="169"/>
        <v>441</v>
      </c>
      <c r="S204">
        <f t="shared" si="169"/>
        <v>1088</v>
      </c>
      <c r="T204">
        <f t="shared" si="169"/>
        <v>2943</v>
      </c>
      <c r="U204">
        <f t="shared" si="169"/>
        <v>7210</v>
      </c>
      <c r="V204">
        <f t="shared" si="169"/>
        <v>20009</v>
      </c>
      <c r="W204">
        <f t="shared" si="169"/>
        <v>48885</v>
      </c>
      <c r="X204">
        <f t="shared" si="169"/>
        <v>137730</v>
      </c>
      <c r="Y204">
        <f t="shared" si="169"/>
        <v>336466</v>
      </c>
      <c r="Z204">
        <f t="shared" si="169"/>
        <v>956031</v>
      </c>
      <c r="AA204">
        <f t="shared" si="169"/>
        <v>2339041</v>
      </c>
    </row>
    <row r="205" spans="2:27" x14ac:dyDescent="0.25">
      <c r="B205">
        <v>26</v>
      </c>
      <c r="C205">
        <v>20</v>
      </c>
      <c r="D205">
        <v>24</v>
      </c>
      <c r="E205">
        <v>20</v>
      </c>
      <c r="F205" t="s">
        <v>16</v>
      </c>
      <c r="G205" t="s">
        <v>12</v>
      </c>
      <c r="H205">
        <v>1</v>
      </c>
      <c r="I205">
        <v>6</v>
      </c>
      <c r="J205" t="s">
        <v>380</v>
      </c>
      <c r="K205" t="s">
        <v>381</v>
      </c>
      <c r="L205">
        <f>COUNTIF(C179:D208,B205)</f>
        <v>3</v>
      </c>
      <c r="M205">
        <f>SUM(L184,L202,L204)</f>
        <v>5</v>
      </c>
      <c r="N205">
        <f t="shared" ref="N205:AA205" si="170">SUM(M184,M202,M204)</f>
        <v>14</v>
      </c>
      <c r="O205">
        <f t="shared" si="170"/>
        <v>29</v>
      </c>
      <c r="P205">
        <f t="shared" si="170"/>
        <v>76</v>
      </c>
      <c r="Q205">
        <f t="shared" si="170"/>
        <v>180</v>
      </c>
      <c r="R205">
        <f t="shared" si="170"/>
        <v>455</v>
      </c>
      <c r="S205">
        <f t="shared" si="170"/>
        <v>1168</v>
      </c>
      <c r="T205">
        <f t="shared" si="170"/>
        <v>2895</v>
      </c>
      <c r="U205">
        <f t="shared" si="170"/>
        <v>7796</v>
      </c>
      <c r="V205">
        <f t="shared" si="170"/>
        <v>19136</v>
      </c>
      <c r="W205">
        <f t="shared" si="170"/>
        <v>53001</v>
      </c>
      <c r="X205">
        <f t="shared" si="170"/>
        <v>129590</v>
      </c>
      <c r="Y205">
        <f t="shared" si="170"/>
        <v>364773</v>
      </c>
      <c r="Z205">
        <f t="shared" si="170"/>
        <v>891388</v>
      </c>
      <c r="AA205">
        <f t="shared" si="170"/>
        <v>2531610</v>
      </c>
    </row>
    <row r="206" spans="2:27" x14ac:dyDescent="0.25">
      <c r="B206">
        <v>27</v>
      </c>
      <c r="C206">
        <v>22</v>
      </c>
      <c r="D206">
        <v>25</v>
      </c>
      <c r="E206">
        <v>27</v>
      </c>
    </row>
    <row r="207" spans="2:27" x14ac:dyDescent="0.25">
      <c r="B207">
        <v>28</v>
      </c>
      <c r="C207">
        <v>23</v>
      </c>
      <c r="D207">
        <v>26</v>
      </c>
      <c r="E207">
        <v>28</v>
      </c>
      <c r="M207">
        <f>SUM(IF(FREQUENCY(M180:M205,M180:M205)&gt;0,1))</f>
        <v>9</v>
      </c>
      <c r="N207">
        <f t="shared" ref="N207:AA207" si="171">SUM(IF(FREQUENCY(N180:N205,N180:N205)&gt;0,1))</f>
        <v>18</v>
      </c>
      <c r="O207">
        <f t="shared" si="171"/>
        <v>24</v>
      </c>
      <c r="P207">
        <f t="shared" si="171"/>
        <v>24</v>
      </c>
      <c r="Q207">
        <f t="shared" si="171"/>
        <v>24</v>
      </c>
      <c r="R207">
        <f t="shared" si="171"/>
        <v>26</v>
      </c>
      <c r="S207">
        <f t="shared" si="171"/>
        <v>26</v>
      </c>
      <c r="T207">
        <f t="shared" si="171"/>
        <v>26</v>
      </c>
      <c r="U207">
        <f t="shared" si="171"/>
        <v>26</v>
      </c>
      <c r="V207">
        <f t="shared" si="171"/>
        <v>26</v>
      </c>
      <c r="W207">
        <f t="shared" si="171"/>
        <v>26</v>
      </c>
      <c r="X207">
        <f t="shared" si="171"/>
        <v>26</v>
      </c>
      <c r="Y207">
        <f t="shared" si="171"/>
        <v>26</v>
      </c>
      <c r="Z207">
        <f t="shared" si="171"/>
        <v>26</v>
      </c>
      <c r="AA207">
        <f t="shared" si="171"/>
        <v>26</v>
      </c>
    </row>
    <row r="208" spans="2:27" x14ac:dyDescent="0.25">
      <c r="B208">
        <v>29</v>
      </c>
      <c r="C208">
        <v>25</v>
      </c>
      <c r="D208">
        <v>26</v>
      </c>
      <c r="E208">
        <v>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45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J37" sqref="J37:K37"/>
    </sheetView>
  </sheetViews>
  <sheetFormatPr defaultRowHeight="15" x14ac:dyDescent="0.25"/>
  <cols>
    <col min="4" max="4" width="10" bestFit="1" customWidth="1"/>
    <col min="6" max="6" width="12" bestFit="1" customWidth="1"/>
    <col min="9" max="9" width="25.5703125" bestFit="1" customWidth="1"/>
    <col min="15" max="15" width="66.28515625" bestFit="1" customWidth="1"/>
  </cols>
  <sheetData>
    <row r="1" spans="1:17" x14ac:dyDescent="0.25">
      <c r="A1" s="5" t="s">
        <v>227</v>
      </c>
      <c r="B1" s="5" t="s">
        <v>228</v>
      </c>
      <c r="C1" s="5" t="s">
        <v>2</v>
      </c>
      <c r="D1" s="5" t="s">
        <v>229</v>
      </c>
      <c r="E1" s="5" t="s">
        <v>148</v>
      </c>
      <c r="F1" s="5" t="s">
        <v>230</v>
      </c>
      <c r="G1" s="5" t="s">
        <v>231</v>
      </c>
      <c r="H1" s="5" t="s">
        <v>232</v>
      </c>
      <c r="I1" s="5" t="s">
        <v>233</v>
      </c>
      <c r="J1" t="s">
        <v>169</v>
      </c>
      <c r="K1" t="s">
        <v>170</v>
      </c>
      <c r="L1" s="4"/>
      <c r="M1" t="s">
        <v>167</v>
      </c>
      <c r="O1" t="s">
        <v>168</v>
      </c>
      <c r="P1" t="s">
        <v>169</v>
      </c>
      <c r="Q1" t="s">
        <v>170</v>
      </c>
    </row>
    <row r="2" spans="1:17" x14ac:dyDescent="0.25">
      <c r="A2">
        <v>1</v>
      </c>
      <c r="B2">
        <v>1</v>
      </c>
      <c r="C2" t="s">
        <v>12</v>
      </c>
      <c r="D2" t="s">
        <v>16</v>
      </c>
      <c r="E2">
        <v>1</v>
      </c>
      <c r="J2">
        <v>2.0085000000000002</v>
      </c>
      <c r="K2">
        <v>5.91E-2</v>
      </c>
      <c r="M2" t="s">
        <v>172</v>
      </c>
      <c r="O2" t="s">
        <v>173</v>
      </c>
      <c r="P2">
        <v>0.6</v>
      </c>
      <c r="Q2">
        <v>1.5699999999999999E-2</v>
      </c>
    </row>
    <row r="3" spans="1:17" x14ac:dyDescent="0.25">
      <c r="A3">
        <v>2</v>
      </c>
      <c r="B3" t="s">
        <v>234</v>
      </c>
      <c r="C3" t="s">
        <v>12</v>
      </c>
      <c r="D3" t="s">
        <v>14</v>
      </c>
      <c r="E3">
        <v>2</v>
      </c>
      <c r="F3" t="s">
        <v>236</v>
      </c>
      <c r="G3">
        <v>1</v>
      </c>
      <c r="J3">
        <v>1.96</v>
      </c>
      <c r="K3">
        <v>6.2300000000000001E-2</v>
      </c>
      <c r="M3" t="s">
        <v>174</v>
      </c>
      <c r="O3" t="s">
        <v>175</v>
      </c>
      <c r="P3">
        <v>0.8</v>
      </c>
      <c r="Q3">
        <v>0.01</v>
      </c>
    </row>
    <row r="4" spans="1:17" x14ac:dyDescent="0.25">
      <c r="A4">
        <v>3</v>
      </c>
      <c r="B4" t="s">
        <v>235</v>
      </c>
      <c r="C4" t="s">
        <v>12</v>
      </c>
      <c r="D4" t="s">
        <v>14</v>
      </c>
      <c r="E4">
        <v>3</v>
      </c>
      <c r="F4" t="s">
        <v>237</v>
      </c>
      <c r="G4">
        <v>1</v>
      </c>
      <c r="J4">
        <v>1.96</v>
      </c>
      <c r="K4">
        <v>6.2300000000000001E-2</v>
      </c>
      <c r="M4" t="s">
        <v>176</v>
      </c>
      <c r="O4" t="s">
        <v>177</v>
      </c>
      <c r="P4">
        <v>1.03</v>
      </c>
      <c r="Q4">
        <v>0.01</v>
      </c>
    </row>
    <row r="5" spans="1:17" x14ac:dyDescent="0.25">
      <c r="A5">
        <v>4</v>
      </c>
      <c r="B5" t="s">
        <v>239</v>
      </c>
      <c r="C5" t="s">
        <v>12</v>
      </c>
      <c r="D5" t="s">
        <v>14</v>
      </c>
      <c r="E5">
        <v>2</v>
      </c>
      <c r="F5" t="s">
        <v>238</v>
      </c>
      <c r="J5">
        <v>1.8807</v>
      </c>
      <c r="K5">
        <v>0.1022</v>
      </c>
      <c r="M5" t="s">
        <v>178</v>
      </c>
      <c r="O5" t="s">
        <v>179</v>
      </c>
      <c r="P5">
        <v>0.6</v>
      </c>
      <c r="Q5">
        <v>6.9999999999999999E-4</v>
      </c>
    </row>
    <row r="6" spans="1:17" x14ac:dyDescent="0.25">
      <c r="A6">
        <v>5</v>
      </c>
      <c r="B6" t="s">
        <v>240</v>
      </c>
      <c r="C6" t="s">
        <v>12</v>
      </c>
      <c r="D6" t="s">
        <v>18</v>
      </c>
      <c r="E6">
        <v>2</v>
      </c>
      <c r="F6" t="s">
        <v>238</v>
      </c>
      <c r="J6">
        <v>1.8807</v>
      </c>
      <c r="K6">
        <v>0.1022</v>
      </c>
      <c r="M6" t="s">
        <v>180</v>
      </c>
      <c r="O6" t="s">
        <v>181</v>
      </c>
      <c r="P6">
        <v>0.6</v>
      </c>
      <c r="Q6">
        <v>1.5699999999999999E-2</v>
      </c>
    </row>
    <row r="7" spans="1:17" x14ac:dyDescent="0.25">
      <c r="A7">
        <v>6</v>
      </c>
      <c r="B7" t="s">
        <v>242</v>
      </c>
      <c r="C7" t="s">
        <v>12</v>
      </c>
      <c r="D7" t="s">
        <v>14</v>
      </c>
      <c r="E7">
        <v>2</v>
      </c>
      <c r="F7" t="s">
        <v>245</v>
      </c>
      <c r="J7">
        <v>1.8371999999999999</v>
      </c>
      <c r="K7">
        <v>0.13539999999999999</v>
      </c>
      <c r="M7" t="s">
        <v>182</v>
      </c>
      <c r="O7" t="s">
        <v>183</v>
      </c>
      <c r="P7">
        <v>1.4164000000000001</v>
      </c>
      <c r="Q7">
        <v>2.81E-2</v>
      </c>
    </row>
    <row r="8" spans="1:17" x14ac:dyDescent="0.25">
      <c r="A8">
        <v>7</v>
      </c>
      <c r="B8" t="s">
        <v>243</v>
      </c>
      <c r="C8" t="s">
        <v>12</v>
      </c>
      <c r="D8" t="s">
        <v>14</v>
      </c>
      <c r="E8">
        <v>2</v>
      </c>
      <c r="F8" t="s">
        <v>241</v>
      </c>
      <c r="J8">
        <v>1.8371999999999999</v>
      </c>
      <c r="K8">
        <v>0.13539999999999999</v>
      </c>
      <c r="M8" t="s">
        <v>184</v>
      </c>
      <c r="O8" t="s">
        <v>185</v>
      </c>
      <c r="P8">
        <v>1.5738000000000001</v>
      </c>
      <c r="Q8">
        <v>6.0000000000000001E-3</v>
      </c>
    </row>
    <row r="9" spans="1:17" x14ac:dyDescent="0.25">
      <c r="A9">
        <v>8</v>
      </c>
      <c r="B9" t="s">
        <v>244</v>
      </c>
      <c r="C9" t="s">
        <v>12</v>
      </c>
      <c r="D9" t="s">
        <v>14</v>
      </c>
      <c r="E9">
        <v>2</v>
      </c>
      <c r="F9" t="s">
        <v>246</v>
      </c>
      <c r="J9">
        <v>1.8371999999999999</v>
      </c>
      <c r="K9">
        <v>0.13539999999999999</v>
      </c>
      <c r="M9" s="3" t="s">
        <v>186</v>
      </c>
      <c r="N9" s="3"/>
      <c r="O9" s="3" t="s">
        <v>187</v>
      </c>
      <c r="P9">
        <v>1.3164</v>
      </c>
      <c r="Q9">
        <v>2.81E-2</v>
      </c>
    </row>
    <row r="10" spans="1:17" x14ac:dyDescent="0.25">
      <c r="A10">
        <v>9</v>
      </c>
      <c r="B10" t="s">
        <v>249</v>
      </c>
      <c r="C10" t="s">
        <v>12</v>
      </c>
      <c r="D10" t="s">
        <v>11</v>
      </c>
      <c r="E10">
        <v>1</v>
      </c>
      <c r="F10" t="s">
        <v>247</v>
      </c>
      <c r="J10">
        <v>1.9275</v>
      </c>
      <c r="K10">
        <v>0.18590000000000001</v>
      </c>
      <c r="M10" s="3" t="s">
        <v>188</v>
      </c>
      <c r="N10" s="3"/>
      <c r="O10" s="3" t="s">
        <v>189</v>
      </c>
      <c r="P10">
        <v>1.2163999999999999</v>
      </c>
      <c r="Q10">
        <v>2.81E-2</v>
      </c>
    </row>
    <row r="11" spans="1:17" x14ac:dyDescent="0.25">
      <c r="A11">
        <v>10</v>
      </c>
      <c r="B11" t="s">
        <v>250</v>
      </c>
      <c r="C11" t="s">
        <v>12</v>
      </c>
      <c r="D11" t="s">
        <v>11</v>
      </c>
      <c r="E11">
        <v>2</v>
      </c>
      <c r="F11" t="s">
        <v>248</v>
      </c>
      <c r="J11">
        <v>1.9275</v>
      </c>
      <c r="K11">
        <v>0.18590000000000001</v>
      </c>
      <c r="M11" s="3" t="s">
        <v>190</v>
      </c>
      <c r="N11" s="3"/>
      <c r="O11" s="3" t="s">
        <v>191</v>
      </c>
      <c r="P11">
        <v>1.1164000000000001</v>
      </c>
      <c r="Q11">
        <v>2.81E-2</v>
      </c>
    </row>
    <row r="12" spans="1:17" x14ac:dyDescent="0.25">
      <c r="A12">
        <v>11</v>
      </c>
      <c r="B12">
        <v>6</v>
      </c>
      <c r="C12" t="s">
        <v>23</v>
      </c>
      <c r="D12" t="s">
        <v>39</v>
      </c>
      <c r="E12">
        <v>1</v>
      </c>
      <c r="F12" t="s">
        <v>251</v>
      </c>
      <c r="J12">
        <v>1.8234999999999999</v>
      </c>
      <c r="K12">
        <v>3.0099999999999998E-2</v>
      </c>
      <c r="M12" s="3" t="s">
        <v>192</v>
      </c>
      <c r="N12" s="3"/>
      <c r="O12" s="3" t="s">
        <v>193</v>
      </c>
      <c r="P12">
        <v>1.5238</v>
      </c>
      <c r="Q12">
        <v>6.0000000000000001E-3</v>
      </c>
    </row>
    <row r="13" spans="1:17" x14ac:dyDescent="0.25">
      <c r="A13">
        <v>12</v>
      </c>
      <c r="B13">
        <v>7</v>
      </c>
      <c r="C13" t="s">
        <v>23</v>
      </c>
      <c r="D13" t="s">
        <v>39</v>
      </c>
      <c r="E13">
        <v>2</v>
      </c>
      <c r="F13" t="s">
        <v>252</v>
      </c>
      <c r="J13">
        <v>1.6989000000000001</v>
      </c>
      <c r="K13">
        <v>0.15260000000000001</v>
      </c>
      <c r="M13" s="3" t="s">
        <v>194</v>
      </c>
      <c r="N13" s="3"/>
      <c r="O13" s="3" t="s">
        <v>195</v>
      </c>
      <c r="P13">
        <v>1.4738</v>
      </c>
      <c r="Q13">
        <v>6.0000000000000001E-3</v>
      </c>
    </row>
    <row r="14" spans="1:17" x14ac:dyDescent="0.25">
      <c r="A14">
        <v>13</v>
      </c>
      <c r="B14">
        <v>8</v>
      </c>
      <c r="C14" t="s">
        <v>23</v>
      </c>
      <c r="D14" t="s">
        <v>38</v>
      </c>
      <c r="E14">
        <v>1</v>
      </c>
      <c r="F14" t="s">
        <v>253</v>
      </c>
      <c r="J14">
        <v>1.66</v>
      </c>
      <c r="K14">
        <v>0.18310000000000001</v>
      </c>
      <c r="M14" t="s">
        <v>196</v>
      </c>
      <c r="N14" t="s">
        <v>16</v>
      </c>
      <c r="O14" t="s">
        <v>197</v>
      </c>
      <c r="P14">
        <v>2.0085000000000002</v>
      </c>
      <c r="Q14">
        <v>5.91E-2</v>
      </c>
    </row>
    <row r="15" spans="1:17" x14ac:dyDescent="0.25">
      <c r="A15">
        <v>14</v>
      </c>
      <c r="B15">
        <v>9</v>
      </c>
      <c r="C15" t="s">
        <v>23</v>
      </c>
      <c r="D15" t="s">
        <v>41</v>
      </c>
      <c r="E15">
        <v>1</v>
      </c>
      <c r="F15" t="s">
        <v>251</v>
      </c>
      <c r="J15">
        <v>1.4</v>
      </c>
      <c r="K15">
        <v>1.4722</v>
      </c>
      <c r="M15" t="s">
        <v>198</v>
      </c>
      <c r="O15" t="s">
        <v>199</v>
      </c>
      <c r="P15">
        <v>1.96</v>
      </c>
      <c r="Q15">
        <v>6.2300000000000001E-2</v>
      </c>
    </row>
    <row r="16" spans="1:17" x14ac:dyDescent="0.25">
      <c r="A16">
        <v>15</v>
      </c>
      <c r="B16" t="s">
        <v>254</v>
      </c>
      <c r="C16" t="s">
        <v>21</v>
      </c>
      <c r="D16" t="s">
        <v>26</v>
      </c>
      <c r="E16">
        <v>1</v>
      </c>
      <c r="F16" t="s">
        <v>247</v>
      </c>
      <c r="J16">
        <v>1.86</v>
      </c>
      <c r="K16">
        <v>0.13450000000000001</v>
      </c>
      <c r="M16" t="s">
        <v>200</v>
      </c>
      <c r="N16" t="s">
        <v>201</v>
      </c>
      <c r="O16" t="s">
        <v>202</v>
      </c>
      <c r="P16">
        <v>1.8807</v>
      </c>
      <c r="Q16">
        <v>0.1022</v>
      </c>
    </row>
    <row r="17" spans="1:17" x14ac:dyDescent="0.25">
      <c r="A17">
        <v>16</v>
      </c>
      <c r="B17" t="s">
        <v>256</v>
      </c>
      <c r="C17" t="s">
        <v>21</v>
      </c>
      <c r="D17" t="s">
        <v>28</v>
      </c>
      <c r="E17">
        <v>1</v>
      </c>
      <c r="F17" t="s">
        <v>253</v>
      </c>
      <c r="J17">
        <v>1.86</v>
      </c>
      <c r="K17">
        <v>0.13450000000000001</v>
      </c>
      <c r="M17" t="s">
        <v>203</v>
      </c>
    </row>
    <row r="18" spans="1:17" x14ac:dyDescent="0.25">
      <c r="A18">
        <v>17</v>
      </c>
      <c r="B18" t="s">
        <v>257</v>
      </c>
      <c r="C18" t="s">
        <v>21</v>
      </c>
      <c r="D18" t="s">
        <v>28</v>
      </c>
      <c r="E18">
        <v>2</v>
      </c>
      <c r="F18" t="s">
        <v>245</v>
      </c>
      <c r="J18">
        <v>1.86</v>
      </c>
      <c r="K18">
        <v>0.13450000000000001</v>
      </c>
      <c r="M18" t="s">
        <v>204</v>
      </c>
      <c r="N18" t="s">
        <v>14</v>
      </c>
      <c r="O18" t="s">
        <v>205</v>
      </c>
      <c r="P18">
        <v>1.8371999999999999</v>
      </c>
      <c r="Q18">
        <v>0.13539999999999999</v>
      </c>
    </row>
    <row r="19" spans="1:17" x14ac:dyDescent="0.25">
      <c r="A19">
        <v>18</v>
      </c>
      <c r="B19" t="s">
        <v>258</v>
      </c>
      <c r="C19" t="s">
        <v>21</v>
      </c>
      <c r="D19" t="s">
        <v>28</v>
      </c>
      <c r="E19">
        <v>2</v>
      </c>
      <c r="F19" t="s">
        <v>238</v>
      </c>
      <c r="J19">
        <v>1.86</v>
      </c>
      <c r="K19">
        <v>0.13450000000000001</v>
      </c>
      <c r="M19" t="s">
        <v>206</v>
      </c>
      <c r="N19" t="s">
        <v>11</v>
      </c>
      <c r="O19" t="s">
        <v>207</v>
      </c>
      <c r="P19">
        <v>1.9275</v>
      </c>
      <c r="Q19">
        <v>0.18590000000000001</v>
      </c>
    </row>
    <row r="20" spans="1:17" x14ac:dyDescent="0.25">
      <c r="A20">
        <v>19</v>
      </c>
      <c r="B20" t="s">
        <v>259</v>
      </c>
      <c r="C20" t="s">
        <v>21</v>
      </c>
      <c r="D20" t="s">
        <v>34</v>
      </c>
      <c r="E20">
        <v>2</v>
      </c>
      <c r="F20" t="s">
        <v>238</v>
      </c>
      <c r="J20">
        <v>1.86</v>
      </c>
      <c r="K20">
        <v>0.13450000000000001</v>
      </c>
      <c r="M20" t="s">
        <v>208</v>
      </c>
      <c r="N20" t="s">
        <v>39</v>
      </c>
      <c r="O20" t="s">
        <v>209</v>
      </c>
      <c r="P20">
        <v>1.8234999999999999</v>
      </c>
      <c r="Q20">
        <v>3.0099999999999998E-2</v>
      </c>
    </row>
    <row r="21" spans="1:17" x14ac:dyDescent="0.25">
      <c r="A21">
        <v>20</v>
      </c>
      <c r="B21" t="s">
        <v>260</v>
      </c>
      <c r="C21" t="s">
        <v>21</v>
      </c>
      <c r="D21" t="s">
        <v>255</v>
      </c>
      <c r="E21">
        <v>1</v>
      </c>
      <c r="F21" t="s">
        <v>251</v>
      </c>
      <c r="J21">
        <v>1.9</v>
      </c>
      <c r="K21">
        <v>0.05</v>
      </c>
      <c r="M21" t="s">
        <v>210</v>
      </c>
      <c r="N21" t="s">
        <v>39</v>
      </c>
      <c r="O21" t="s">
        <v>211</v>
      </c>
      <c r="P21">
        <v>1.6989000000000001</v>
      </c>
      <c r="Q21">
        <v>0.15260000000000001</v>
      </c>
    </row>
    <row r="22" spans="1:17" x14ac:dyDescent="0.25">
      <c r="A22">
        <v>21</v>
      </c>
      <c r="B22" t="s">
        <v>261</v>
      </c>
      <c r="C22" t="s">
        <v>21</v>
      </c>
      <c r="D22" t="s">
        <v>255</v>
      </c>
      <c r="E22">
        <v>2</v>
      </c>
      <c r="F22" t="s">
        <v>252</v>
      </c>
      <c r="J22">
        <v>1.9</v>
      </c>
      <c r="K22">
        <v>0.05</v>
      </c>
      <c r="M22" t="s">
        <v>212</v>
      </c>
      <c r="N22" t="s">
        <v>38</v>
      </c>
      <c r="O22" t="s">
        <v>213</v>
      </c>
      <c r="P22">
        <v>1.66</v>
      </c>
      <c r="Q22">
        <v>0.18310000000000001</v>
      </c>
    </row>
    <row r="23" spans="1:17" x14ac:dyDescent="0.25">
      <c r="A23">
        <v>22</v>
      </c>
      <c r="B23" t="s">
        <v>262</v>
      </c>
      <c r="C23" t="s">
        <v>21</v>
      </c>
      <c r="D23" t="s">
        <v>255</v>
      </c>
      <c r="E23">
        <v>3</v>
      </c>
      <c r="F23" t="s">
        <v>263</v>
      </c>
      <c r="J23">
        <v>1.9</v>
      </c>
      <c r="K23">
        <v>0.05</v>
      </c>
      <c r="M23" t="s">
        <v>214</v>
      </c>
      <c r="N23" t="s">
        <v>41</v>
      </c>
      <c r="O23" t="s">
        <v>215</v>
      </c>
      <c r="P23">
        <v>1.4</v>
      </c>
      <c r="Q23">
        <v>1.4722</v>
      </c>
    </row>
    <row r="24" spans="1:17" x14ac:dyDescent="0.25">
      <c r="A24">
        <v>23</v>
      </c>
      <c r="B24" t="s">
        <v>264</v>
      </c>
      <c r="C24" t="s">
        <v>21</v>
      </c>
      <c r="D24" t="s">
        <v>36</v>
      </c>
      <c r="E24">
        <v>1</v>
      </c>
      <c r="F24" t="s">
        <v>251</v>
      </c>
      <c r="J24">
        <v>1.9</v>
      </c>
      <c r="K24">
        <v>0.05</v>
      </c>
      <c r="M24" t="s">
        <v>216</v>
      </c>
      <c r="N24" t="s">
        <v>225</v>
      </c>
      <c r="O24" t="s">
        <v>217</v>
      </c>
      <c r="P24">
        <v>1.86</v>
      </c>
      <c r="Q24">
        <v>0.13450000000000001</v>
      </c>
    </row>
    <row r="25" spans="1:17" x14ac:dyDescent="0.25">
      <c r="A25">
        <v>24</v>
      </c>
      <c r="B25" t="s">
        <v>265</v>
      </c>
      <c r="C25" t="s">
        <v>21</v>
      </c>
      <c r="D25" t="s">
        <v>36</v>
      </c>
      <c r="E25">
        <v>2</v>
      </c>
      <c r="F25" t="s">
        <v>252</v>
      </c>
      <c r="J25">
        <v>1.9</v>
      </c>
      <c r="K25">
        <v>0.05</v>
      </c>
      <c r="M25" t="s">
        <v>218</v>
      </c>
      <c r="N25" t="s">
        <v>224</v>
      </c>
      <c r="O25" t="s">
        <v>219</v>
      </c>
      <c r="P25">
        <v>1.9</v>
      </c>
      <c r="Q25">
        <v>0.05</v>
      </c>
    </row>
    <row r="26" spans="1:17" x14ac:dyDescent="0.25">
      <c r="A26">
        <v>25</v>
      </c>
      <c r="B26" t="s">
        <v>266</v>
      </c>
      <c r="C26" t="s">
        <v>21</v>
      </c>
      <c r="D26" t="s">
        <v>36</v>
      </c>
      <c r="E26">
        <v>3</v>
      </c>
      <c r="F26" t="s">
        <v>263</v>
      </c>
      <c r="J26">
        <v>1.9</v>
      </c>
      <c r="K26">
        <v>0.05</v>
      </c>
      <c r="M26" t="s">
        <v>220</v>
      </c>
      <c r="N26" t="s">
        <v>226</v>
      </c>
      <c r="O26" t="s">
        <v>221</v>
      </c>
      <c r="P26">
        <v>1.9901</v>
      </c>
      <c r="Q26">
        <v>0.26529999999999998</v>
      </c>
    </row>
    <row r="27" spans="1:17" x14ac:dyDescent="0.25">
      <c r="A27">
        <v>26</v>
      </c>
      <c r="B27" t="s">
        <v>267</v>
      </c>
      <c r="C27" t="s">
        <v>21</v>
      </c>
      <c r="D27" t="s">
        <v>30</v>
      </c>
      <c r="E27">
        <v>1</v>
      </c>
      <c r="F27" t="s">
        <v>251</v>
      </c>
      <c r="J27">
        <v>1.9</v>
      </c>
      <c r="K27">
        <v>0.05</v>
      </c>
      <c r="M27" t="s">
        <v>222</v>
      </c>
      <c r="N27" t="s">
        <v>43</v>
      </c>
      <c r="O27" t="s">
        <v>223</v>
      </c>
      <c r="P27">
        <v>2.2286000000000001</v>
      </c>
      <c r="Q27">
        <v>9.8000000000000004E-2</v>
      </c>
    </row>
    <row r="28" spans="1:17" x14ac:dyDescent="0.25">
      <c r="A28">
        <v>27</v>
      </c>
      <c r="B28" t="s">
        <v>268</v>
      </c>
      <c r="C28" t="s">
        <v>21</v>
      </c>
      <c r="D28" t="s">
        <v>30</v>
      </c>
      <c r="E28">
        <v>2</v>
      </c>
      <c r="F28" t="s">
        <v>252</v>
      </c>
      <c r="J28">
        <v>1.9</v>
      </c>
      <c r="K28">
        <v>0.05</v>
      </c>
    </row>
    <row r="29" spans="1:17" x14ac:dyDescent="0.25">
      <c r="A29">
        <v>28</v>
      </c>
      <c r="B29" t="s">
        <v>269</v>
      </c>
      <c r="C29" t="s">
        <v>21</v>
      </c>
      <c r="D29" t="s">
        <v>30</v>
      </c>
      <c r="E29">
        <v>3</v>
      </c>
      <c r="F29" t="s">
        <v>263</v>
      </c>
      <c r="J29">
        <v>1.9</v>
      </c>
      <c r="K29">
        <v>0.05</v>
      </c>
    </row>
    <row r="30" spans="1:17" x14ac:dyDescent="0.25">
      <c r="A30">
        <v>29</v>
      </c>
      <c r="B30" t="s">
        <v>270</v>
      </c>
      <c r="C30" t="s">
        <v>21</v>
      </c>
      <c r="D30" t="s">
        <v>30</v>
      </c>
      <c r="E30">
        <v>4</v>
      </c>
      <c r="F30" t="s">
        <v>271</v>
      </c>
      <c r="J30">
        <v>1.9</v>
      </c>
      <c r="K30">
        <v>0.05</v>
      </c>
    </row>
    <row r="31" spans="1:17" x14ac:dyDescent="0.25">
      <c r="A31">
        <v>30</v>
      </c>
      <c r="B31">
        <v>11</v>
      </c>
      <c r="C31" t="s">
        <v>37</v>
      </c>
      <c r="D31" t="s">
        <v>47</v>
      </c>
      <c r="E31">
        <v>1</v>
      </c>
      <c r="F31" t="s">
        <v>253</v>
      </c>
      <c r="J31">
        <v>1.9901</v>
      </c>
      <c r="K31">
        <v>0.26529999999999998</v>
      </c>
    </row>
    <row r="32" spans="1:17" x14ac:dyDescent="0.25">
      <c r="A32">
        <v>31</v>
      </c>
      <c r="B32" t="s">
        <v>273</v>
      </c>
      <c r="C32" t="s">
        <v>37</v>
      </c>
      <c r="D32" t="s">
        <v>49</v>
      </c>
      <c r="E32">
        <v>1</v>
      </c>
      <c r="F32" t="s">
        <v>251</v>
      </c>
      <c r="J32">
        <v>1.9901</v>
      </c>
      <c r="K32">
        <v>0.26529999999999998</v>
      </c>
    </row>
    <row r="33" spans="1:11" x14ac:dyDescent="0.25">
      <c r="A33">
        <v>32</v>
      </c>
      <c r="B33" t="s">
        <v>274</v>
      </c>
      <c r="C33" t="s">
        <v>37</v>
      </c>
      <c r="D33" t="s">
        <v>49</v>
      </c>
      <c r="E33">
        <v>2</v>
      </c>
      <c r="F33" t="s">
        <v>252</v>
      </c>
      <c r="J33">
        <v>1.9901</v>
      </c>
      <c r="K33">
        <v>0.26529999999999998</v>
      </c>
    </row>
    <row r="34" spans="1:11" x14ac:dyDescent="0.25">
      <c r="A34">
        <v>33</v>
      </c>
      <c r="B34">
        <v>13</v>
      </c>
      <c r="C34" t="s">
        <v>37</v>
      </c>
      <c r="D34" t="s">
        <v>51</v>
      </c>
      <c r="E34">
        <v>3</v>
      </c>
      <c r="F34" t="s">
        <v>275</v>
      </c>
      <c r="G34">
        <v>1</v>
      </c>
      <c r="H34">
        <v>0</v>
      </c>
      <c r="J34">
        <v>1.9901</v>
      </c>
      <c r="K34">
        <v>0.26529999999999998</v>
      </c>
    </row>
    <row r="35" spans="1:11" x14ac:dyDescent="0.25">
      <c r="A35">
        <v>34</v>
      </c>
      <c r="B35">
        <v>14</v>
      </c>
      <c r="C35" t="s">
        <v>37</v>
      </c>
      <c r="D35" t="s">
        <v>53</v>
      </c>
      <c r="E35">
        <v>4</v>
      </c>
      <c r="F35" t="s">
        <v>276</v>
      </c>
      <c r="G35">
        <v>2</v>
      </c>
      <c r="H35">
        <v>0</v>
      </c>
      <c r="J35">
        <v>1.9901</v>
      </c>
      <c r="K35">
        <v>0.26529999999999998</v>
      </c>
    </row>
    <row r="36" spans="1:11" x14ac:dyDescent="0.25">
      <c r="A36">
        <v>35</v>
      </c>
      <c r="B36">
        <v>15</v>
      </c>
      <c r="C36" t="s">
        <v>37</v>
      </c>
      <c r="D36" t="s">
        <v>272</v>
      </c>
      <c r="E36">
        <v>2</v>
      </c>
      <c r="F36" t="s">
        <v>238</v>
      </c>
      <c r="J36">
        <v>1.9901</v>
      </c>
      <c r="K36">
        <v>0.26529999999999998</v>
      </c>
    </row>
    <row r="37" spans="1:11" x14ac:dyDescent="0.25">
      <c r="A37">
        <v>36</v>
      </c>
      <c r="B37">
        <v>16</v>
      </c>
      <c r="C37" t="s">
        <v>35</v>
      </c>
      <c r="D37" t="s">
        <v>43</v>
      </c>
      <c r="E37">
        <v>4</v>
      </c>
      <c r="F37" t="s">
        <v>276</v>
      </c>
      <c r="G37">
        <v>2</v>
      </c>
      <c r="H37">
        <v>0</v>
      </c>
      <c r="J37">
        <v>2.2286000000000001</v>
      </c>
      <c r="K37">
        <v>9.8000000000000004E-2</v>
      </c>
    </row>
    <row r="38" spans="1:11" x14ac:dyDescent="0.25">
      <c r="A38">
        <v>37</v>
      </c>
    </row>
    <row r="39" spans="1:11" x14ac:dyDescent="0.25">
      <c r="A39">
        <v>38</v>
      </c>
    </row>
    <row r="40" spans="1:11" x14ac:dyDescent="0.25">
      <c r="A40">
        <v>39</v>
      </c>
    </row>
    <row r="41" spans="1:11" x14ac:dyDescent="0.25">
      <c r="A41">
        <v>40</v>
      </c>
    </row>
    <row r="42" spans="1:11" x14ac:dyDescent="0.25">
      <c r="A42">
        <v>41</v>
      </c>
    </row>
    <row r="43" spans="1:11" x14ac:dyDescent="0.25">
      <c r="A43">
        <v>42</v>
      </c>
    </row>
    <row r="44" spans="1:11" x14ac:dyDescent="0.25">
      <c r="A44">
        <v>43</v>
      </c>
    </row>
    <row r="45" spans="1:11" x14ac:dyDescent="0.25">
      <c r="A45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Sheet1</vt:lpstr>
      <vt:lpstr>Sheet2</vt:lpstr>
      <vt:lpstr>Sheet3</vt:lpstr>
      <vt:lpstr>AtomicInfo</vt:lpstr>
      <vt:lpstr>Temp</vt:lpstr>
      <vt:lpstr>input</vt:lpstr>
      <vt:lpstr>BackUp</vt:lpstr>
      <vt:lpstr>AtomicProp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mush</dc:creator>
  <cp:lastModifiedBy>mush</cp:lastModifiedBy>
  <dcterms:created xsi:type="dcterms:W3CDTF">2014-12-19T09:49:11Z</dcterms:created>
  <dcterms:modified xsi:type="dcterms:W3CDTF">2020-01-15T11:01:54Z</dcterms:modified>
</cp:coreProperties>
</file>